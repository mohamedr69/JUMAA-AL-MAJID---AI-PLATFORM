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  <sheet name="Assumptions &amp; Notes" sheetId="2" state="visible" r:id="rId4"/>
    <sheet name="Device 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<sst xmlns="http://schemas.openxmlformats.org/spreadsheetml/2006/main" count="628" uniqueCount="322">
  <si>
    <t xml:space="preserve">BILL OF QUANTITIES — FIRE ALARM &amp; VOICE EVACUATION SYSTEM</t>
  </si>
  <si>
    <t xml:space="preserve">Drawing ICC-DLRC-SIG2-SD-MEP/FA-109  Rev 01 (15.09.2026)  —  Level 02 to 10 &amp; 12 to 16 (typical floor × 14)</t>
  </si>
  <si>
    <t xml:space="preserve">Quantities counted from the DXF. Rate and Amount columns are blank for the estimator. See 'Assumptions &amp; Notes' for basis and open items.</t>
  </si>
  <si>
    <t xml:space="preserve">Item</t>
  </si>
  <si>
    <t xml:space="preserve">Description</t>
  </si>
  <si>
    <t xml:space="preserve">Model / Type</t>
  </si>
  <si>
    <t xml:space="preserve">Mounting height</t>
  </si>
  <si>
    <t xml:space="preserve">Unit</t>
  </si>
  <si>
    <t xml:space="preserve">Qty per
typical floor</t>
  </si>
  <si>
    <t xml:space="preserve">No. of
floors</t>
  </si>
  <si>
    <t xml:space="preserve">Total
qty</t>
  </si>
  <si>
    <t xml:space="preserve">Rate
(AED)</t>
  </si>
  <si>
    <t xml:space="preserve">Amount
(AED)</t>
  </si>
  <si>
    <t xml:space="preserve">Remarks</t>
  </si>
  <si>
    <t xml:space="preserve">A.  AUTOMATIC DETECTION DEVICES</t>
  </si>
  <si>
    <t xml:space="preserve">A.1</t>
  </si>
  <si>
    <t xml:space="preserve">Intelligent photoelectric smoke detector complete with standard mounting base</t>
  </si>
  <si>
    <t xml:space="preserve">SIGA-OSD-FCN + SIGA-SB</t>
  </si>
  <si>
    <t xml:space="preserve">Ceiling mounted</t>
  </si>
  <si>
    <t xml:space="preserve">Nos</t>
  </si>
  <si>
    <t xml:space="preserve">Typical floor coverage. 36 symbols on plan less the 4 noted 'L6 &amp; L12 only' below.</t>
  </si>
  <si>
    <t xml:space="preserve">A.2</t>
  </si>
  <si>
    <t xml:space="preserve">Intelligent photoelectric smoke detector with standard base — additional units at Level 06 &amp; 12 only</t>
  </si>
  <si>
    <t xml:space="preserve">Drawing note: 'SD LOCATED ONLY IN LEVEL-6 &amp; 12'.</t>
  </si>
  <si>
    <t xml:space="preserve">A.3</t>
  </si>
  <si>
    <t xml:space="preserve">Intelligent photoelectric smoke detector complete with isolator base</t>
  </si>
  <si>
    <t xml:space="preserve">SIGA-OSD-FCN + SIGA-IB</t>
  </si>
  <si>
    <t xml:space="preserve">Loop isolation per general note 4.</t>
  </si>
  <si>
    <t xml:space="preserve">A.4</t>
  </si>
  <si>
    <t xml:space="preserve">Intelligent photoelectric smoke detector complete with sounder base</t>
  </si>
  <si>
    <t xml:space="preserve">SIGA-OSD-FCN + SIGA-LPS</t>
  </si>
  <si>
    <t xml:space="preserve">Apartment sounder coverage; fed by the 24 V DC circuit.</t>
  </si>
  <si>
    <t xml:space="preserve">A.5</t>
  </si>
  <si>
    <t xml:space="preserve">Intelligent multi-sensor detector (optical + heat) with standard base</t>
  </si>
  <si>
    <t xml:space="preserve">SIGA-OSHD-FCN + SIGA-SB</t>
  </si>
  <si>
    <t xml:space="preserve">Kitchens / high-nuisance areas.</t>
  </si>
  <si>
    <t xml:space="preserve">A.6</t>
  </si>
  <si>
    <t xml:space="preserve">Intelligent rate-of-rise heat detector complete with isolator base</t>
  </si>
  <si>
    <t xml:space="preserve">SIGA-HRD-FCN + SIGA-IB</t>
  </si>
  <si>
    <t xml:space="preserve">B.  MANUAL CALL POINTS, MODULES &amp; INTERFACE DEVICES</t>
  </si>
  <si>
    <t xml:space="preserve">B.1</t>
  </si>
  <si>
    <t xml:space="preserve">Addressable manual call point (break glass), surface type</t>
  </si>
  <si>
    <t xml:space="preserve">SIGA-278</t>
  </si>
  <si>
    <t xml:space="preserve">1200 mm from FFL</t>
  </si>
  <si>
    <t xml:space="preserve">Mounts on 3"×3" G.I. back box — see item D.3.</t>
  </si>
  <si>
    <t xml:space="preserve">B.2</t>
  </si>
  <si>
    <t xml:space="preserve">Addressable control relay module</t>
  </si>
  <si>
    <t xml:space="preserve">SIGA-CR</t>
  </si>
  <si>
    <t xml:space="preserve">As per site condition</t>
  </si>
  <si>
    <t xml:space="preserve">Interface to MSFD / smoke control / sliding doors / ZCV.</t>
  </si>
  <si>
    <t xml:space="preserve">B.3</t>
  </si>
  <si>
    <t xml:space="preserve">Addressable control relay module — even levels only</t>
  </si>
  <si>
    <t xml:space="preserve">Drawing note: 'CR LOCATED ONLY IN LEVEL-02,04,06,08,10,12,14,16 ONLY'.</t>
  </si>
  <si>
    <t xml:space="preserve">B.4</t>
  </si>
  <si>
    <t xml:space="preserve">Addressable dual input monitor module</t>
  </si>
  <si>
    <t xml:space="preserve">SIGA-CT2</t>
  </si>
  <si>
    <t xml:space="preserve">2 loop addresses.</t>
  </si>
  <si>
    <t xml:space="preserve">B.5</t>
  </si>
  <si>
    <t xml:space="preserve">Addressable dual input riser module</t>
  </si>
  <si>
    <t xml:space="preserve">SIGA-CC2A</t>
  </si>
  <si>
    <t xml:space="preserve">Speaker circuit riser — returns to CC2A at telecom room.</t>
  </si>
  <si>
    <t xml:space="preserve">B.6</t>
  </si>
  <si>
    <t xml:space="preserve">End-of-line resistor</t>
  </si>
  <si>
    <t xml:space="preserve">As per manufacturer</t>
  </si>
  <si>
    <t xml:space="preserve">—</t>
  </si>
  <si>
    <t xml:space="preserve">B.7</t>
  </si>
  <si>
    <t xml:space="preserve">Fire telephone jack, flush type</t>
  </si>
  <si>
    <t xml:space="preserve">6830-3</t>
  </si>
  <si>
    <t xml:space="preserve">Mounts on 2"×4" G.I. concealed back box — see item D.4.</t>
  </si>
  <si>
    <t xml:space="preserve">C.  VOICE EVACUATION &amp; AUDIBLE DEVICES</t>
  </si>
  <si>
    <t xml:space="preserve">C.1</t>
  </si>
  <si>
    <t xml:space="preserve">Ceiling mounted fire alarm speaker complete with fire dome</t>
  </si>
  <si>
    <t xml:space="preserve">EST-S186C</t>
  </si>
  <si>
    <t xml:space="preserve">Speaker circuit CK4, addresses SP1–SP13.</t>
  </si>
  <si>
    <t xml:space="preserve">C.2</t>
  </si>
  <si>
    <t xml:space="preserve">Voice evacuation amplifier</t>
  </si>
  <si>
    <t xml:space="preserve">APS6A/230</t>
  </si>
  <si>
    <t xml:space="preserve">1800 mm from FFL (top of panel)</t>
  </si>
  <si>
    <t xml:space="preserve">Drawing note: 'AMPLIFIERS LOCATED ONLY IN LEVEL-03/09/15'.</t>
  </si>
  <si>
    <t xml:space="preserve">D.  PANELS, POWER SUPPLY, CABLES &amp; ACCESSORIES</t>
  </si>
  <si>
    <t xml:space="preserve">D.1</t>
  </si>
  <si>
    <t xml:space="preserve">Sub fire alarm control panel</t>
  </si>
  <si>
    <t xml:space="preserve">EST4</t>
  </si>
  <si>
    <t xml:space="preserve">Drawing note: 'SUB FIRE ALARM CONTROL PANEL LOCATED AT L10 ONLY'.</t>
  </si>
  <si>
    <t xml:space="preserve">D.2</t>
  </si>
  <si>
    <t xml:space="preserve">Booster power supply</t>
  </si>
  <si>
    <t xml:space="preserve">BPS10A/230</t>
  </si>
  <si>
    <t xml:space="preserve">Drawing note: 'BOOSTER POWER SUPPLY LOCATED ONLY IN LEVEL-09'.</t>
  </si>
  <si>
    <t xml:space="preserve">D.3</t>
  </si>
  <si>
    <t xml:space="preserve">Detection loop cable, 2C × 1.5 mm² fire rated</t>
  </si>
  <si>
    <t xml:space="preserve">2C×1.5 mm² FR</t>
  </si>
  <si>
    <t xml:space="preserve">In 25 mm Ø PVC conduit</t>
  </si>
  <si>
    <t xml:space="preserve">Mtr</t>
  </si>
  <si>
    <t xml:space="preserve">Measured route length on layer FA-LOOP CABLE. Loop 3 and Loop 4 pass this floor.</t>
  </si>
  <si>
    <t xml:space="preserve">D.4</t>
  </si>
  <si>
    <t xml:space="preserve">24 V DC power cable to sounder bases, 2C × 2.5 mm² fire rated</t>
  </si>
  <si>
    <t xml:space="preserve">2C×2.5 mm² FR</t>
  </si>
  <si>
    <t xml:space="preserve">Measured route length on layer FA-24V DC CIRCUIT.</t>
  </si>
  <si>
    <t xml:space="preserve">D.5</t>
  </si>
  <si>
    <t xml:space="preserve">Voice evacuation speaker circuit cable, 2C × 2.5 mm² fire rated</t>
  </si>
  <si>
    <t xml:space="preserve">Measured route length on layer VE-SPEAKER CIRCUIT.</t>
  </si>
  <si>
    <t xml:space="preserve">D.6</t>
  </si>
  <si>
    <t xml:space="preserve">Fire telephone cable, 2C × 1.5 mm² fire rated</t>
  </si>
  <si>
    <t xml:space="preserve">TBA</t>
  </si>
  <si>
    <t xml:space="preserve">NOT ROUTED ON THIS DRAWING — quantity to be taken from the riser / schematic.</t>
  </si>
  <si>
    <t xml:space="preserve">D.7</t>
  </si>
  <si>
    <t xml:space="preserve">Data / network cable between panels, 2C × 1.5 mm² fire rated</t>
  </si>
  <si>
    <t xml:space="preserve">Only a riser stub shown — quantity to be taken from the riser / schematic.</t>
  </si>
  <si>
    <t xml:space="preserve">D.8</t>
  </si>
  <si>
    <t xml:space="preserve">PVC conduit 25 mm Ø, embedded in slab / wall, with all fittings</t>
  </si>
  <si>
    <t xml:space="preserve">25 mm Ø PVC</t>
  </si>
  <si>
    <t xml:space="preserve">Concealed</t>
  </si>
  <si>
    <t xml:space="preserve">Sum of the three routed circuits; assumes one conduit per circuit route.</t>
  </si>
  <si>
    <t xml:space="preserve">D.9</t>
  </si>
  <si>
    <t xml:space="preserve">G.I. back box 3"×3" for manual call point</t>
  </si>
  <si>
    <t xml:space="preserve">3"×3" G.I.</t>
  </si>
  <si>
    <t xml:space="preserve">Per legend mounting note.</t>
  </si>
  <si>
    <t xml:space="preserve">D.10</t>
  </si>
  <si>
    <t xml:space="preserve">G.I. back box 2"×4" concealed, for fire telephone jack</t>
  </si>
  <si>
    <t xml:space="preserve">2"×4" G.I.</t>
  </si>
  <si>
    <t xml:space="preserve">D.11</t>
  </si>
  <si>
    <t xml:space="preserve">Conduit sleeve / slab opening for vertical riser penetration</t>
  </si>
  <si>
    <t xml:space="preserve">Riser penetrations shown on the typical floor.</t>
  </si>
  <si>
    <t xml:space="preserve">TOTAL — FIRE ALARM &amp; VOICE EVACUATION (Level 02–10 &amp; 12–16)</t>
  </si>
  <si>
    <t xml:space="preserve">Legend:  blue = counted / input value   •   green = floor multiplier from 'Assumptions &amp; Notes'   •   black bold = calculated total   •   yellow = enter your rate</t>
  </si>
  <si>
    <t xml:space="preserve">Cable and conduit totals include the wastage allowance set on the 'Assumptions &amp; Notes' sheet.</t>
  </si>
  <si>
    <t xml:space="preserve">FIRE ALARM BOQ — BASIS OF QUANTITIES</t>
  </si>
  <si>
    <t xml:space="preserve">Drawing</t>
  </si>
  <si>
    <t xml:space="preserve">ICC-DLRC-SIG2-SD-MEP/FA-109</t>
  </si>
  <si>
    <t xml:space="preserve">Title block, layout 'OVERALL'</t>
  </si>
  <si>
    <t xml:space="preserve">Title</t>
  </si>
  <si>
    <t xml:space="preserve">LEVEL-02 TO 10 &amp; 12 TO 16 FLOOR FIRE ALARM &amp; VOICE EVACUATION SYSTEM LAYOUT</t>
  </si>
  <si>
    <t xml:space="preserve">Revision / Date</t>
  </si>
  <si>
    <t xml:space="preserve">01 — 15.09.2026 — REVISED AS PER COMMENTS</t>
  </si>
  <si>
    <t xml:space="preserve">Rev 00 issued for approval 31-07-2026</t>
  </si>
  <si>
    <t xml:space="preserve">Scale</t>
  </si>
  <si>
    <t xml:space="preserve">1:200</t>
  </si>
  <si>
    <t xml:space="preserve">Model space units = millimetres</t>
  </si>
  <si>
    <t xml:space="preserve">Drawn / Checked</t>
  </si>
  <si>
    <t xml:space="preserve">RAMADAN / ASIF</t>
  </si>
  <si>
    <t xml:space="preserve">System</t>
  </si>
  <si>
    <t xml:space="preserve">EST4 addressable, Edwards/EST SIGA-series devices + voice evacuation</t>
  </si>
  <si>
    <t xml:space="preserve">From drawing legend</t>
  </si>
  <si>
    <t xml:space="preserve">INPUT CELLS (blue = edit these; all BOQ totals recalculate)</t>
  </si>
  <si>
    <t xml:space="preserve">Typical floors covered by this drawing</t>
  </si>
  <si>
    <t xml:space="preserve">L2–L10 (9 floors) + L12–L16 (5 floors). Excludes L11.</t>
  </si>
  <si>
    <t xml:space="preserve">Floors with 'CR ONLY IN LEVEL 02,04,06,08,10,12,14,16'</t>
  </si>
  <si>
    <t xml:space="preserve">Drawing note beside 2 nos control relay modules.</t>
  </si>
  <si>
    <t xml:space="preserve">Floors with 'SD LOCATED ONLY IN LEVEL-6 &amp; 12'</t>
  </si>
  <si>
    <t xml:space="preserve">Drawing note beside 4 nos smoke detectors.</t>
  </si>
  <si>
    <t xml:space="preserve">Floors with 'AMPLIFIERS LOCATED ONLY IN LEVEL-03/09/15'</t>
  </si>
  <si>
    <t xml:space="preserve">Drawing note beside amplifier symbol.</t>
  </si>
  <si>
    <t xml:space="preserve">Floors with 'SUB FACP LOCATED AT L10 ONLY'</t>
  </si>
  <si>
    <t xml:space="preserve">Drawing note beside SFACP symbol.</t>
  </si>
  <si>
    <t xml:space="preserve">Floors with 'BOOSTER POWER SUPPLY ONLY IN LEVEL-09'</t>
  </si>
  <si>
    <t xml:space="preserve">Drawing note beside BPS symbol.</t>
  </si>
  <si>
    <t xml:space="preserve">Wastage / site-routing allowance on cable &amp; conduit</t>
  </si>
  <si>
    <t xml:space="preserve">Applied to cable and conduit totals only.</t>
  </si>
  <si>
    <t xml:space="preserve">HOW THE QUANTITIES WERE DERIVED</t>
  </si>
  <si>
    <t xml:space="preserve">Device quantities are a machine count of the symbol blocks placed on the typical-floor plan in the DXF model space (plan area X 1,182,957 to 1,248,207 / Y -103,142 to -66,592 in model space).</t>
  </si>
  <si>
    <t xml:space="preserve">Legend symbols and the installation-detail sketches on the same sheet were excluded from the count by coordinate zone, so nothing is double counted.</t>
  </si>
  <si>
    <t xml:space="preserve">Two independent cross-checks agree with the block count:</t>
  </si>
  <si>
    <t xml:space="preserve">   • Detectors: 36 OS + 5 OSI + 31 LPS + 26 MS + 1 HI = 99. Device tags on the sheet read D16–D100 (85 on Loop 3) + D251–D260 (10 on Loop 4) = 95, plus the 4 detectors noted 'L6 &amp; L12 only' which sit outside the tag sequence. 95 + 4 = 99. ✓</t>
  </si>
  <si>
    <t xml:space="preserve">   • Modules: 6 CR + 3 break glass + 1 CT2 + 1 CC2 = 11 devices = 13 loop addresses (CT2 and CC2 are dual-input). Module tags read M132–M138 and M140–M145 = 13 addresses. ✓</t>
  </si>
  <si>
    <t xml:space="preserve">   • Speakers: 13 ceiling speaker symbols vs speaker tags SP1–SP13 = 13. ✓</t>
  </si>
  <si>
    <t xml:space="preserve">Cable lengths are the true polyline length of each routing layer inside the plan area (FA-LOOP CABLE, FA-24V DC CIRCUIT, VE-SPEAKER CIRCUIT), converted mm → m. They are horizontal run only.</t>
  </si>
  <si>
    <t xml:space="preserve">Conduit is taken as the sum of the three circuit routes, per the legend note that every circuit runs inside 25mm Ø PVC conduit embedded in slab/wall.</t>
  </si>
  <si>
    <t xml:space="preserve">ITEMS TO VERIFY BEFORE PRICING  —  the drawing does not settle these</t>
  </si>
  <si>
    <t xml:space="preserve">Vertical drops not included</t>
  </si>
  <si>
    <t xml:space="preserve">Cable lengths are the plan (horizontal) run only. Add drops to device height, riser rises between floors, and panel terminations. Typical addition 15–25%.</t>
  </si>
  <si>
    <t xml:space="preserve">Fire telephone cable not routed</t>
  </si>
  <si>
    <t xml:space="preserve">The legend lists a fire telephone cable (2C×1.5mm² FR) and 3 telephone jacks are placed, but no routing polyline exists on the sheet. Quantity carried as 'to be advised'.</t>
  </si>
  <si>
    <t xml:space="preserve">Data / network cable not routed</t>
  </si>
  <si>
    <t xml:space="preserve">Only a 1 m riser stub is drawn on layer FA-DATA NETWORK CABLE. Inter-panel network cable must come from the riser diagram.</t>
  </si>
  <si>
    <t xml:space="preserve">No wall speakers, sounder-flashers or staircase speakers on this floor</t>
  </si>
  <si>
    <t xml:space="preserve">Blocks WS, SF, SF-WP, CF and WSF-WP exist in the legend but are placed zero times on the plan. Confirm staircase / lobby audibility is covered by another drawing, or the floor is short of coverage.</t>
  </si>
  <si>
    <t xml:space="preserve">Isolator count vs general note 4</t>
  </si>
  <si>
    <t xml:space="preserve">Note 4 requires an isolator base every 15 detectors. This floor has 99 detectors and 6 isolator bases (5 OSI + 1 HI) = 1 per 16.5. Isolators are counted per loop across floors, so confirm against the loop schematic.</t>
  </si>
  <si>
    <t xml:space="preserve">Speaker circuit returns off-sheet</t>
  </si>
  <si>
    <t xml:space="preserve">Note reads 'SPEAKER CIRCUIT RETURN TO CC2A @ TEL RM'. Riser lengths are outside this drawing.</t>
  </si>
  <si>
    <t xml:space="preserve">2 nos heat detector symbols outside the plan</t>
  </si>
  <si>
    <t xml:space="preserve">Two HD blocks sit at X ≈ -1,200,000 on layer E-670-M_FSP_FSA-1, far outside the floor plate — orphan content from another drawing. Excluded from the BOQ. Confirm they are not required.</t>
  </si>
  <si>
    <t xml:space="preserve">Fire dome, back boxes and terminations</t>
  </si>
  <si>
    <t xml:space="preserve">Carried per the legend's mounting notes. Confirm against the manufacturer's installation detail before ordering.</t>
  </si>
  <si>
    <t xml:space="preserve">TYPICAL-FLOOR DEVICE SCHEDULE — as placed on drawing ICC-DLRC-SIG2-SD-MEP/FA-109 Rev 01</t>
  </si>
  <si>
    <t xml:space="preserve">One row per symbol on the typical floor plan. The tag column is the nearest device label found in the drawing; blank where no label sits within 2.5 m.</t>
  </si>
  <si>
    <t xml:space="preserve">#</t>
  </si>
  <si>
    <t xml:space="preserve">Symbol</t>
  </si>
  <si>
    <t xml:space="preserve">Device / model</t>
  </si>
  <si>
    <t xml:space="preserve">Device tag on drawing</t>
  </si>
  <si>
    <t xml:space="preserve">X (mm)</t>
  </si>
  <si>
    <t xml:space="preserve">Y (mm)</t>
  </si>
  <si>
    <t xml:space="preserve">Tag distance (mm)</t>
  </si>
  <si>
    <t xml:space="preserve">BPS</t>
  </si>
  <si>
    <t xml:space="preserve">Booster power supply (BPS10A/230)</t>
  </si>
  <si>
    <t xml:space="preserve">FACP01-GF/LP3/D17</t>
  </si>
  <si>
    <t xml:space="preserve">CC2</t>
  </si>
  <si>
    <t xml:space="preserve">Dual input riser module (SIGA-CC2A)</t>
  </si>
  <si>
    <t xml:space="preserve">FACP01-GF/LP3/D16</t>
  </si>
  <si>
    <t xml:space="preserve">CR</t>
  </si>
  <si>
    <t xml:space="preserve">Control relay module (SIGA-CR)</t>
  </si>
  <si>
    <t xml:space="preserve">AMP03-P3/CK4/SP8</t>
  </si>
  <si>
    <t xml:space="preserve">AMP03-P3/CK4/SP5</t>
  </si>
  <si>
    <t xml:space="preserve">FACP01-GF/LP3/D32</t>
  </si>
  <si>
    <t xml:space="preserve">FACP01-GF/LP3/D23</t>
  </si>
  <si>
    <t xml:space="preserve">FACP01-GF/LP3/D37</t>
  </si>
  <si>
    <t xml:space="preserve">CS</t>
  </si>
  <si>
    <t xml:space="preserve">Ceiling speaker (EST-S186C)</t>
  </si>
  <si>
    <t xml:space="preserve">FACP01-GF/LP3/D99</t>
  </si>
  <si>
    <t xml:space="preserve">AMP03-P3/CK4/SP12</t>
  </si>
  <si>
    <t xml:space="preserve">FACP01-GF/LP3/D73</t>
  </si>
  <si>
    <t xml:space="preserve">FACP01-GF/LP3/D87</t>
  </si>
  <si>
    <t xml:space="preserve">AMP03-P3/CK4/SP7</t>
  </si>
  <si>
    <t xml:space="preserve">AMP03-P3/CK4/SP9</t>
  </si>
  <si>
    <t xml:space="preserve">FACP01-GF/LP3/D82</t>
  </si>
  <si>
    <t xml:space="preserve">AMP03-P3/CK4/SP6</t>
  </si>
  <si>
    <t xml:space="preserve">AMP03-P3/CK4/SP4</t>
  </si>
  <si>
    <t xml:space="preserve">AMP03-P3/CK4/SP3</t>
  </si>
  <si>
    <t xml:space="preserve">AMP03-P3/CK4/SP2</t>
  </si>
  <si>
    <t xml:space="preserve">AMP03-P3/CK4/SP1</t>
  </si>
  <si>
    <t xml:space="preserve">CT2</t>
  </si>
  <si>
    <t xml:space="preserve">Dual input monitor module (SIGA-CT2)</t>
  </si>
  <si>
    <t xml:space="preserve">AMP03-P3/CK4/SP11</t>
  </si>
  <si>
    <t xml:space="preserve">EOL</t>
  </si>
  <si>
    <t xml:space="preserve">FACP01-GF/LP3/D92</t>
  </si>
  <si>
    <t xml:space="preserve">FIRE PHONE JACK</t>
  </si>
  <si>
    <t xml:space="preserve">Fire telephone jack (6830-3)</t>
  </si>
  <si>
    <t xml:space="preserve">FACP01-GF/LP3/D75</t>
  </si>
  <si>
    <t xml:space="preserve">FACP01-GF/LP3/M136</t>
  </si>
  <si>
    <t xml:space="preserve">HI</t>
  </si>
  <si>
    <t xml:space="preserve">Heat detector, isolator base (SIGA-HRD-FCN + SIGA-IB)</t>
  </si>
  <si>
    <t xml:space="preserve">FACP01-GF/LP3/D40</t>
  </si>
  <si>
    <t xml:space="preserve">LPS</t>
  </si>
  <si>
    <t xml:space="preserve">Smoke detector, sounder base (SIGA-OSD-FCN + SIGA-LPS)</t>
  </si>
  <si>
    <t xml:space="preserve">FACP01-GF/LP4/D258</t>
  </si>
  <si>
    <t xml:space="preserve">FACP01-GF/LP4/D260</t>
  </si>
  <si>
    <t xml:space="preserve">FACP01-GF/LP4/D256</t>
  </si>
  <si>
    <t xml:space="preserve">FACP01-GF/LP3/D97</t>
  </si>
  <si>
    <t xml:space="preserve">FACP01-GF/LP4/D253</t>
  </si>
  <si>
    <t xml:space="preserve">FACP01-GF/LP3/D93</t>
  </si>
  <si>
    <t xml:space="preserve">FACP01-GF/LP4/D252</t>
  </si>
  <si>
    <t xml:space="preserve">FACP01-GF/LP3/D63</t>
  </si>
  <si>
    <t xml:space="preserve">FACP01-GF/LP3/D52</t>
  </si>
  <si>
    <t xml:space="preserve">FACP01-GF/LP3/D51</t>
  </si>
  <si>
    <t xml:space="preserve">FACP01-GF/LP3/D71</t>
  </si>
  <si>
    <t xml:space="preserve">FACP01-GF/LP3/D66</t>
  </si>
  <si>
    <t xml:space="preserve">FACP01-GF/LP3/D84</t>
  </si>
  <si>
    <t xml:space="preserve">FACP01-GF/LP3/D58</t>
  </si>
  <si>
    <t xml:space="preserve">FACP01-GF/LP3/D62</t>
  </si>
  <si>
    <t xml:space="preserve">FACP01-GF/LP3/D60</t>
  </si>
  <si>
    <t xml:space="preserve">FACP01-GF/LP3/D83</t>
  </si>
  <si>
    <t xml:space="preserve">FACP01-GF/LP3/D50</t>
  </si>
  <si>
    <t xml:space="preserve">FACP01-GF/LP3/D49</t>
  </si>
  <si>
    <t xml:space="preserve">FACP01-GF/LP3/D34</t>
  </si>
  <si>
    <t xml:space="preserve">FACP01-GF/LP3/D26</t>
  </si>
  <si>
    <t xml:space="preserve">FACP01-GF/LP3/D48</t>
  </si>
  <si>
    <t xml:space="preserve">FACP01-GF/LP3/D77</t>
  </si>
  <si>
    <t xml:space="preserve">FACP01-GF/LP3/D78</t>
  </si>
  <si>
    <t xml:space="preserve">FACP01-GF/LP3/D47</t>
  </si>
  <si>
    <t xml:space="preserve">FACP01-GF/LP3/D31</t>
  </si>
  <si>
    <t xml:space="preserve">FACP01-GF/LP3/D22</t>
  </si>
  <si>
    <t xml:space="preserve">FACP01-GF/LP3/D21</t>
  </si>
  <si>
    <t xml:space="preserve">FACP01-GF/LP3/D39</t>
  </si>
  <si>
    <t xml:space="preserve">FACP01-GF/LP3/D38</t>
  </si>
  <si>
    <t xml:space="preserve">MS</t>
  </si>
  <si>
    <t xml:space="preserve">Multi-sensor detector (SIGA-OSHD-FCN + SIGA-SB)</t>
  </si>
  <si>
    <t xml:space="preserve">FACP01-GF/LP3/D100</t>
  </si>
  <si>
    <t xml:space="preserve">FACP01-GF/LP4/D255</t>
  </si>
  <si>
    <t xml:space="preserve">FACP01-GF/LP3/D96</t>
  </si>
  <si>
    <t xml:space="preserve">FACP01-GF/LP3/D94</t>
  </si>
  <si>
    <t xml:space="preserve">FACP01-GF/LP3/D95</t>
  </si>
  <si>
    <t xml:space="preserve">FACP01-GF/LP4/D251</t>
  </si>
  <si>
    <t xml:space="preserve">FACP01-GF/LP3/D91</t>
  </si>
  <si>
    <t xml:space="preserve">FACP01-GF/LP3/D86</t>
  </si>
  <si>
    <t xml:space="preserve">FACP01-GF/LP3/D64</t>
  </si>
  <si>
    <t xml:space="preserve">FACP01-GF/LP3/D57</t>
  </si>
  <si>
    <t xml:space="preserve">FACP01-GF/LP3/D59</t>
  </si>
  <si>
    <t xml:space="preserve">FACP01-GF/LP3/D61</t>
  </si>
  <si>
    <t xml:space="preserve">FACP01-GF/LP3/D68</t>
  </si>
  <si>
    <t xml:space="preserve">FACP01-GF/LP3/D69</t>
  </si>
  <si>
    <t xml:space="preserve">FACP01-GF/LP3/D55</t>
  </si>
  <si>
    <t xml:space="preserve">AMP03-P3/CK4/SP10</t>
  </si>
  <si>
    <t xml:space="preserve">FACP01-GF/LP3/D56</t>
  </si>
  <si>
    <t xml:space="preserve">FACP01-GF/LP3/D43</t>
  </si>
  <si>
    <t xml:space="preserve">FACP01-GF/LP3/D29</t>
  </si>
  <si>
    <t xml:space="preserve">FACP01-GF/LP3/D27</t>
  </si>
  <si>
    <t xml:space="preserve">FACP01-GF/LP3/D36</t>
  </si>
  <si>
    <t xml:space="preserve">FACP01-GF/LP3/D19</t>
  </si>
  <si>
    <t xml:space="preserve">FACP01-GF/LP3/D33</t>
  </si>
  <si>
    <t xml:space="preserve">FACP01-GF/LP3/M132/133</t>
  </si>
  <si>
    <t xml:space="preserve">OS</t>
  </si>
  <si>
    <t xml:space="preserve">Smoke detector, standard base (SIGA-OSD-FCN + SIGA-SB)</t>
  </si>
  <si>
    <t xml:space="preserve">FACP01-GF/LP4/D257</t>
  </si>
  <si>
    <t xml:space="preserve">FACP01-GF/LP3/D98</t>
  </si>
  <si>
    <t xml:space="preserve">FACP01-GF/LP3/D89</t>
  </si>
  <si>
    <t xml:space="preserve">FACP01-GF/LP3/D85</t>
  </si>
  <si>
    <t xml:space="preserve">FACP01-GF/LP3/M140</t>
  </si>
  <si>
    <t xml:space="preserve">FACP01-GF/LP3/D70</t>
  </si>
  <si>
    <t xml:space="preserve">FACP01-GF/LP3/D74</t>
  </si>
  <si>
    <t xml:space="preserve">FACP01-GF/LP3/D53</t>
  </si>
  <si>
    <t xml:space="preserve">FACP01-GF/LP3/D72</t>
  </si>
  <si>
    <t xml:space="preserve">FACP01-GF/LP3/D41</t>
  </si>
  <si>
    <t xml:space="preserve">FACP01-GF/LP3/D46</t>
  </si>
  <si>
    <t xml:space="preserve">FACP01-GF/LP3/D79</t>
  </si>
  <si>
    <t xml:space="preserve">FACP01-GF/LP3/D45</t>
  </si>
  <si>
    <t xml:space="preserve">FACP01-GF/LP3/D35</t>
  </si>
  <si>
    <t xml:space="preserve">FACP01-GF/LP3/D30</t>
  </si>
  <si>
    <t xml:space="preserve">FACP01-GF/LP3/D44</t>
  </si>
  <si>
    <t xml:space="preserve">FACP01-GF/LP3/D25</t>
  </si>
  <si>
    <t xml:space="preserve">FACP01-GF/LP3/D20</t>
  </si>
  <si>
    <t xml:space="preserve">OSI</t>
  </si>
  <si>
    <t xml:space="preserve">Smoke detector, isolator base (SIGA-OSD-FCN + SIGA-IB)</t>
  </si>
  <si>
    <t xml:space="preserve">FACP01-GF/LP3/D90</t>
  </si>
  <si>
    <t xml:space="preserve">FACP01-GF/LP3/D67</t>
  </si>
  <si>
    <t xml:space="preserve">FACP01-GF/LP3/D54</t>
  </si>
  <si>
    <t xml:space="preserve">FACP01-GF/LP3/D80</t>
  </si>
  <si>
    <t xml:space="preserve">PULL</t>
  </si>
  <si>
    <t xml:space="preserve">Manual call point / break glass (SIGA-278)</t>
  </si>
  <si>
    <t xml:space="preserve">FACP01-GF/LP3/M144</t>
  </si>
  <si>
    <t xml:space="preserve">FACP01-GF/LP3/M137</t>
  </si>
  <si>
    <t xml:space="preserve">FACP01-GF/LP3/M141</t>
  </si>
  <si>
    <t xml:space="preserve">Total symbols on typical floor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</si>
</sst>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General"/>
    <numFmt numFmtId="167" formatCode="#,##0.00"/>
    <numFmt numFmtId="168" formatCode="#,##0.00;\(#,##0.00\);\-"/>
    <numFmt numFmtId="169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E2F3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4" min="3" style="0" width="26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9.5" hidden="false" customHeight="true" outlineLevel="0" collapsed="false">
      <c r="A6" s="5" t="s">
        <v>14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30" hidden="false" customHeight="true" outlineLevel="0" collapsed="false">
      <c r="A7" s="6" t="s">
        <v>15</v>
      </c>
      <c r="B7" s="7" t="s">
        <v>16</v>
      </c>
      <c r="C7" s="8" t="s">
        <v>17</v>
      </c>
      <c r="D7" s="8" t="s">
        <v>18</v>
      </c>
      <c r="E7" s="6" t="s">
        <v>19</v>
      </c>
      <c r="F7" s="9" t="n">
        <v>32</v>
      </c>
      <c r="G7" s="10" t="n">
        <f aca="false">'Assumptions &amp; Notes'!$B$10</f>
        <v>14</v>
      </c>
      <c r="H7" s="11" t="n">
        <f aca="false">F7*G7</f>
        <v>448</v>
      </c>
      <c r="I7" s="12"/>
      <c r="J7" s="13" t="str">
        <f aca="false">IF(N(I7)=0,"",H7*I7)</f>
        <v/>
      </c>
      <c r="K7" s="14" t="s">
        <v>20</v>
      </c>
    </row>
    <row r="8" customFormat="false" ht="30" hidden="false" customHeight="true" outlineLevel="0" collapsed="false">
      <c r="A8" s="6" t="s">
        <v>21</v>
      </c>
      <c r="B8" s="7" t="s">
        <v>22</v>
      </c>
      <c r="C8" s="8" t="s">
        <v>17</v>
      </c>
      <c r="D8" s="8" t="s">
        <v>18</v>
      </c>
      <c r="E8" s="6" t="s">
        <v>19</v>
      </c>
      <c r="F8" s="9" t="n">
        <v>4</v>
      </c>
      <c r="G8" s="10" t="n">
        <f aca="false">'Assumptions &amp; Notes'!$B$12</f>
        <v>2</v>
      </c>
      <c r="H8" s="11" t="n">
        <f aca="false">F8*G8</f>
        <v>8</v>
      </c>
      <c r="I8" s="12"/>
      <c r="J8" s="13" t="str">
        <f aca="false">IF(N(I8)=0,"",H8*I8)</f>
        <v/>
      </c>
      <c r="K8" s="14" t="s">
        <v>23</v>
      </c>
    </row>
    <row r="9" customFormat="false" ht="30" hidden="false" customHeight="true" outlineLevel="0" collapsed="false">
      <c r="A9" s="6" t="s">
        <v>24</v>
      </c>
      <c r="B9" s="7" t="s">
        <v>25</v>
      </c>
      <c r="C9" s="8" t="s">
        <v>26</v>
      </c>
      <c r="D9" s="8" t="s">
        <v>18</v>
      </c>
      <c r="E9" s="6" t="s">
        <v>19</v>
      </c>
      <c r="F9" s="9" t="n">
        <v>5</v>
      </c>
      <c r="G9" s="10" t="n">
        <f aca="false">'Assumptions &amp; Notes'!$B$10</f>
        <v>14</v>
      </c>
      <c r="H9" s="11" t="n">
        <f aca="false">F9*G9</f>
        <v>70</v>
      </c>
      <c r="I9" s="12"/>
      <c r="J9" s="13" t="str">
        <f aca="false">IF(N(I9)=0,"",H9*I9)</f>
        <v/>
      </c>
      <c r="K9" s="14" t="s">
        <v>27</v>
      </c>
    </row>
    <row r="10" customFormat="false" ht="30" hidden="false" customHeight="true" outlineLevel="0" collapsed="false">
      <c r="A10" s="6" t="s">
        <v>28</v>
      </c>
      <c r="B10" s="7" t="s">
        <v>29</v>
      </c>
      <c r="C10" s="8" t="s">
        <v>30</v>
      </c>
      <c r="D10" s="8" t="s">
        <v>18</v>
      </c>
      <c r="E10" s="6" t="s">
        <v>19</v>
      </c>
      <c r="F10" s="9" t="n">
        <v>31</v>
      </c>
      <c r="G10" s="10" t="n">
        <f aca="false">'Assumptions &amp; Notes'!$B$10</f>
        <v>14</v>
      </c>
      <c r="H10" s="11" t="n">
        <f aca="false">F10*G10</f>
        <v>434</v>
      </c>
      <c r="I10" s="12"/>
      <c r="J10" s="13" t="str">
        <f aca="false">IF(N(I10)=0,"",H10*I10)</f>
        <v/>
      </c>
      <c r="K10" s="14" t="s">
        <v>31</v>
      </c>
    </row>
    <row r="11" customFormat="false" ht="30" hidden="false" customHeight="true" outlineLevel="0" collapsed="false">
      <c r="A11" s="6" t="s">
        <v>32</v>
      </c>
      <c r="B11" s="7" t="s">
        <v>33</v>
      </c>
      <c r="C11" s="8" t="s">
        <v>34</v>
      </c>
      <c r="D11" s="8" t="s">
        <v>18</v>
      </c>
      <c r="E11" s="6" t="s">
        <v>19</v>
      </c>
      <c r="F11" s="9" t="n">
        <v>26</v>
      </c>
      <c r="G11" s="10" t="n">
        <f aca="false">'Assumptions &amp; Notes'!$B$10</f>
        <v>14</v>
      </c>
      <c r="H11" s="11" t="n">
        <f aca="false">F11*G11</f>
        <v>364</v>
      </c>
      <c r="I11" s="12"/>
      <c r="J11" s="13" t="str">
        <f aca="false">IF(N(I11)=0,"",H11*I11)</f>
        <v/>
      </c>
      <c r="K11" s="14" t="s">
        <v>35</v>
      </c>
    </row>
    <row r="12" customFormat="false" ht="30" hidden="false" customHeight="true" outlineLevel="0" collapsed="false">
      <c r="A12" s="6" t="s">
        <v>36</v>
      </c>
      <c r="B12" s="7" t="s">
        <v>37</v>
      </c>
      <c r="C12" s="8" t="s">
        <v>38</v>
      </c>
      <c r="D12" s="8" t="s">
        <v>18</v>
      </c>
      <c r="E12" s="6" t="s">
        <v>19</v>
      </c>
      <c r="F12" s="9" t="n">
        <v>1</v>
      </c>
      <c r="G12" s="10" t="n">
        <f aca="false">'Assumptions &amp; Notes'!$B$10</f>
        <v>14</v>
      </c>
      <c r="H12" s="11" t="n">
        <f aca="false">F12*G12</f>
        <v>14</v>
      </c>
      <c r="I12" s="12"/>
      <c r="J12" s="13" t="str">
        <f aca="false">IF(N(I12)=0,"",H12*I12)</f>
        <v/>
      </c>
      <c r="K12" s="14"/>
    </row>
    <row r="13" customFormat="false" ht="19.5" hidden="false" customHeight="true" outlineLevel="0" collapsed="false">
      <c r="A13" s="5" t="s">
        <v>39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Format="false" ht="30" hidden="false" customHeight="true" outlineLevel="0" collapsed="false">
      <c r="A14" s="6" t="s">
        <v>40</v>
      </c>
      <c r="B14" s="7" t="s">
        <v>41</v>
      </c>
      <c r="C14" s="8" t="s">
        <v>42</v>
      </c>
      <c r="D14" s="8" t="s">
        <v>43</v>
      </c>
      <c r="E14" s="6" t="s">
        <v>19</v>
      </c>
      <c r="F14" s="9" t="n">
        <v>3</v>
      </c>
      <c r="G14" s="10" t="n">
        <f aca="false">'Assumptions &amp; Notes'!$B$10</f>
        <v>14</v>
      </c>
      <c r="H14" s="11" t="n">
        <f aca="false">F14*G14</f>
        <v>42</v>
      </c>
      <c r="I14" s="12"/>
      <c r="J14" s="13" t="str">
        <f aca="false">IF(N(I14)=0,"",H14*I14)</f>
        <v/>
      </c>
      <c r="K14" s="14" t="s">
        <v>44</v>
      </c>
    </row>
    <row r="15" customFormat="false" ht="30" hidden="false" customHeight="true" outlineLevel="0" collapsed="false">
      <c r="A15" s="6" t="s">
        <v>45</v>
      </c>
      <c r="B15" s="7" t="s">
        <v>46</v>
      </c>
      <c r="C15" s="8" t="s">
        <v>47</v>
      </c>
      <c r="D15" s="8" t="s">
        <v>48</v>
      </c>
      <c r="E15" s="6" t="s">
        <v>19</v>
      </c>
      <c r="F15" s="9" t="n">
        <v>4</v>
      </c>
      <c r="G15" s="10" t="n">
        <f aca="false">'Assumptions &amp; Notes'!$B$10</f>
        <v>14</v>
      </c>
      <c r="H15" s="11" t="n">
        <f aca="false">F15*G15</f>
        <v>56</v>
      </c>
      <c r="I15" s="12"/>
      <c r="J15" s="13" t="str">
        <f aca="false">IF(N(I15)=0,"",H15*I15)</f>
        <v/>
      </c>
      <c r="K15" s="14" t="s">
        <v>49</v>
      </c>
    </row>
    <row r="16" customFormat="false" ht="30" hidden="false" customHeight="true" outlineLevel="0" collapsed="false">
      <c r="A16" s="6" t="s">
        <v>50</v>
      </c>
      <c r="B16" s="7" t="s">
        <v>51</v>
      </c>
      <c r="C16" s="8" t="s">
        <v>47</v>
      </c>
      <c r="D16" s="8" t="s">
        <v>48</v>
      </c>
      <c r="E16" s="6" t="s">
        <v>19</v>
      </c>
      <c r="F16" s="9" t="n">
        <v>2</v>
      </c>
      <c r="G16" s="10" t="n">
        <f aca="false">'Assumptions &amp; Notes'!$B$11</f>
        <v>8</v>
      </c>
      <c r="H16" s="11" t="n">
        <f aca="false">F16*G16</f>
        <v>16</v>
      </c>
      <c r="I16" s="12"/>
      <c r="J16" s="13" t="str">
        <f aca="false">IF(N(I16)=0,"",H16*I16)</f>
        <v/>
      </c>
      <c r="K16" s="14" t="s">
        <v>52</v>
      </c>
    </row>
    <row r="17" customFormat="false" ht="30" hidden="false" customHeight="true" outlineLevel="0" collapsed="false">
      <c r="A17" s="6" t="s">
        <v>53</v>
      </c>
      <c r="B17" s="7" t="s">
        <v>54</v>
      </c>
      <c r="C17" s="8" t="s">
        <v>55</v>
      </c>
      <c r="D17" s="8" t="s">
        <v>48</v>
      </c>
      <c r="E17" s="6" t="s">
        <v>19</v>
      </c>
      <c r="F17" s="9" t="n">
        <v>1</v>
      </c>
      <c r="G17" s="10" t="n">
        <f aca="false">'Assumptions &amp; Notes'!$B$10</f>
        <v>14</v>
      </c>
      <c r="H17" s="11" t="n">
        <f aca="false">F17*G17</f>
        <v>14</v>
      </c>
      <c r="I17" s="12"/>
      <c r="J17" s="13" t="str">
        <f aca="false">IF(N(I17)=0,"",H17*I17)</f>
        <v/>
      </c>
      <c r="K17" s="14" t="s">
        <v>56</v>
      </c>
    </row>
    <row r="18" customFormat="false" ht="30" hidden="false" customHeight="true" outlineLevel="0" collapsed="false">
      <c r="A18" s="6" t="s">
        <v>57</v>
      </c>
      <c r="B18" s="7" t="s">
        <v>58</v>
      </c>
      <c r="C18" s="8" t="s">
        <v>59</v>
      </c>
      <c r="D18" s="8" t="s">
        <v>48</v>
      </c>
      <c r="E18" s="6" t="s">
        <v>19</v>
      </c>
      <c r="F18" s="9" t="n">
        <v>1</v>
      </c>
      <c r="G18" s="10" t="n">
        <f aca="false">'Assumptions &amp; Notes'!$B$10</f>
        <v>14</v>
      </c>
      <c r="H18" s="11" t="n">
        <f aca="false">F18*G18</f>
        <v>14</v>
      </c>
      <c r="I18" s="12"/>
      <c r="J18" s="13" t="str">
        <f aca="false">IF(N(I18)=0,"",H18*I18)</f>
        <v/>
      </c>
      <c r="K18" s="14" t="s">
        <v>60</v>
      </c>
    </row>
    <row r="19" customFormat="false" ht="30" hidden="false" customHeight="true" outlineLevel="0" collapsed="false">
      <c r="A19" s="6" t="s">
        <v>61</v>
      </c>
      <c r="B19" s="7" t="s">
        <v>62</v>
      </c>
      <c r="C19" s="8" t="s">
        <v>63</v>
      </c>
      <c r="D19" s="8" t="s">
        <v>64</v>
      </c>
      <c r="E19" s="6" t="s">
        <v>19</v>
      </c>
      <c r="F19" s="9" t="n">
        <v>1</v>
      </c>
      <c r="G19" s="10" t="n">
        <f aca="false">'Assumptions &amp; Notes'!$B$10</f>
        <v>14</v>
      </c>
      <c r="H19" s="11" t="n">
        <f aca="false">F19*G19</f>
        <v>14</v>
      </c>
      <c r="I19" s="12"/>
      <c r="J19" s="13" t="str">
        <f aca="false">IF(N(I19)=0,"",H19*I19)</f>
        <v/>
      </c>
      <c r="K19" s="14"/>
    </row>
    <row r="20" customFormat="false" ht="30" hidden="false" customHeight="true" outlineLevel="0" collapsed="false">
      <c r="A20" s="6" t="s">
        <v>65</v>
      </c>
      <c r="B20" s="7" t="s">
        <v>66</v>
      </c>
      <c r="C20" s="8" t="s">
        <v>67</v>
      </c>
      <c r="D20" s="8" t="s">
        <v>43</v>
      </c>
      <c r="E20" s="6" t="s">
        <v>19</v>
      </c>
      <c r="F20" s="9" t="n">
        <v>3</v>
      </c>
      <c r="G20" s="10" t="n">
        <f aca="false">'Assumptions &amp; Notes'!$B$10</f>
        <v>14</v>
      </c>
      <c r="H20" s="11" t="n">
        <f aca="false">F20*G20</f>
        <v>42</v>
      </c>
      <c r="I20" s="12"/>
      <c r="J20" s="13" t="str">
        <f aca="false">IF(N(I20)=0,"",H20*I20)</f>
        <v/>
      </c>
      <c r="K20" s="14" t="s">
        <v>68</v>
      </c>
    </row>
    <row r="21" customFormat="false" ht="19.5" hidden="false" customHeight="true" outlineLevel="0" collapsed="false">
      <c r="A21" s="5" t="s">
        <v>69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customFormat="false" ht="30" hidden="false" customHeight="true" outlineLevel="0" collapsed="false">
      <c r="A22" s="6" t="s">
        <v>70</v>
      </c>
      <c r="B22" s="7" t="s">
        <v>71</v>
      </c>
      <c r="C22" s="8" t="s">
        <v>72</v>
      </c>
      <c r="D22" s="8" t="s">
        <v>18</v>
      </c>
      <c r="E22" s="6" t="s">
        <v>19</v>
      </c>
      <c r="F22" s="9" t="n">
        <v>13</v>
      </c>
      <c r="G22" s="10" t="n">
        <f aca="false">'Assumptions &amp; Notes'!$B$10</f>
        <v>14</v>
      </c>
      <c r="H22" s="11" t="n">
        <f aca="false">F22*G22</f>
        <v>182</v>
      </c>
      <c r="I22" s="12"/>
      <c r="J22" s="13" t="str">
        <f aca="false">IF(N(I22)=0,"",H22*I22)</f>
        <v/>
      </c>
      <c r="K22" s="14" t="s">
        <v>73</v>
      </c>
    </row>
    <row r="23" customFormat="false" ht="30" hidden="false" customHeight="true" outlineLevel="0" collapsed="false">
      <c r="A23" s="6" t="s">
        <v>74</v>
      </c>
      <c r="B23" s="7" t="s">
        <v>75</v>
      </c>
      <c r="C23" s="8" t="s">
        <v>76</v>
      </c>
      <c r="D23" s="8" t="s">
        <v>77</v>
      </c>
      <c r="E23" s="6" t="s">
        <v>19</v>
      </c>
      <c r="F23" s="9" t="n">
        <v>1</v>
      </c>
      <c r="G23" s="10" t="n">
        <f aca="false">'Assumptions &amp; Notes'!$B$13</f>
        <v>3</v>
      </c>
      <c r="H23" s="11" t="n">
        <f aca="false">F23*G23</f>
        <v>3</v>
      </c>
      <c r="I23" s="12"/>
      <c r="J23" s="13" t="str">
        <f aca="false">IF(N(I23)=0,"",H23*I23)</f>
        <v/>
      </c>
      <c r="K23" s="14" t="s">
        <v>78</v>
      </c>
    </row>
    <row r="24" customFormat="false" ht="19.5" hidden="false" customHeight="true" outlineLevel="0" collapsed="false">
      <c r="A24" s="5" t="s">
        <v>79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30" hidden="false" customHeight="true" outlineLevel="0" collapsed="false">
      <c r="A25" s="6" t="s">
        <v>80</v>
      </c>
      <c r="B25" s="7" t="s">
        <v>81</v>
      </c>
      <c r="C25" s="8" t="s">
        <v>82</v>
      </c>
      <c r="D25" s="8" t="s">
        <v>77</v>
      </c>
      <c r="E25" s="6" t="s">
        <v>19</v>
      </c>
      <c r="F25" s="9" t="n">
        <v>1</v>
      </c>
      <c r="G25" s="10" t="n">
        <f aca="false">'Assumptions &amp; Notes'!$B$14</f>
        <v>1</v>
      </c>
      <c r="H25" s="11" t="n">
        <f aca="false">F25*G25</f>
        <v>1</v>
      </c>
      <c r="I25" s="12"/>
      <c r="J25" s="13" t="str">
        <f aca="false">IF(N(I25)=0,"",H25*I25)</f>
        <v/>
      </c>
      <c r="K25" s="14" t="s">
        <v>83</v>
      </c>
    </row>
    <row r="26" customFormat="false" ht="30" hidden="false" customHeight="true" outlineLevel="0" collapsed="false">
      <c r="A26" s="6" t="s">
        <v>84</v>
      </c>
      <c r="B26" s="7" t="s">
        <v>85</v>
      </c>
      <c r="C26" s="8" t="s">
        <v>86</v>
      </c>
      <c r="D26" s="8" t="s">
        <v>77</v>
      </c>
      <c r="E26" s="6" t="s">
        <v>19</v>
      </c>
      <c r="F26" s="9" t="n">
        <v>1</v>
      </c>
      <c r="G26" s="10" t="n">
        <f aca="false">'Assumptions &amp; Notes'!$B$15</f>
        <v>1</v>
      </c>
      <c r="H26" s="11" t="n">
        <f aca="false">F26*G26</f>
        <v>1</v>
      </c>
      <c r="I26" s="12"/>
      <c r="J26" s="13" t="str">
        <f aca="false">IF(N(I26)=0,"",H26*I26)</f>
        <v/>
      </c>
      <c r="K26" s="14" t="s">
        <v>87</v>
      </c>
    </row>
    <row r="27" customFormat="false" ht="30" hidden="false" customHeight="true" outlineLevel="0" collapsed="false">
      <c r="A27" s="6" t="s">
        <v>88</v>
      </c>
      <c r="B27" s="7" t="s">
        <v>89</v>
      </c>
      <c r="C27" s="8" t="s">
        <v>90</v>
      </c>
      <c r="D27" s="8" t="s">
        <v>91</v>
      </c>
      <c r="E27" s="6" t="s">
        <v>92</v>
      </c>
      <c r="F27" s="9" t="n">
        <v>654</v>
      </c>
      <c r="G27" s="10" t="n">
        <f aca="false">'Assumptions &amp; Notes'!$B$10</f>
        <v>14</v>
      </c>
      <c r="H27" s="11" t="n">
        <f aca="false">ROUND(F27*G27*(1+'Assumptions &amp; Notes'!$B$16),0)</f>
        <v>10072</v>
      </c>
      <c r="I27" s="12"/>
      <c r="J27" s="13" t="str">
        <f aca="false">IF(N(I27)=0,"",H27*I27)</f>
        <v/>
      </c>
      <c r="K27" s="14" t="s">
        <v>93</v>
      </c>
    </row>
    <row r="28" customFormat="false" ht="30" hidden="false" customHeight="true" outlineLevel="0" collapsed="false">
      <c r="A28" s="6" t="s">
        <v>94</v>
      </c>
      <c r="B28" s="7" t="s">
        <v>95</v>
      </c>
      <c r="C28" s="8" t="s">
        <v>96</v>
      </c>
      <c r="D28" s="8" t="s">
        <v>91</v>
      </c>
      <c r="E28" s="6" t="s">
        <v>92</v>
      </c>
      <c r="F28" s="9" t="n">
        <v>358</v>
      </c>
      <c r="G28" s="10" t="n">
        <f aca="false">'Assumptions &amp; Notes'!$B$10</f>
        <v>14</v>
      </c>
      <c r="H28" s="11" t="n">
        <f aca="false">ROUND(F28*G28*(1+'Assumptions &amp; Notes'!$B$16),0)</f>
        <v>5513</v>
      </c>
      <c r="I28" s="12"/>
      <c r="J28" s="13" t="str">
        <f aca="false">IF(N(I28)=0,"",H28*I28)</f>
        <v/>
      </c>
      <c r="K28" s="14" t="s">
        <v>97</v>
      </c>
    </row>
    <row r="29" customFormat="false" ht="30" hidden="false" customHeight="true" outlineLevel="0" collapsed="false">
      <c r="A29" s="6" t="s">
        <v>98</v>
      </c>
      <c r="B29" s="7" t="s">
        <v>99</v>
      </c>
      <c r="C29" s="8" t="s">
        <v>96</v>
      </c>
      <c r="D29" s="8" t="s">
        <v>91</v>
      </c>
      <c r="E29" s="6" t="s">
        <v>92</v>
      </c>
      <c r="F29" s="9" t="n">
        <v>157</v>
      </c>
      <c r="G29" s="10" t="n">
        <f aca="false">'Assumptions &amp; Notes'!$B$10</f>
        <v>14</v>
      </c>
      <c r="H29" s="11" t="n">
        <f aca="false">ROUND(F29*G29*(1+'Assumptions &amp; Notes'!$B$16),0)</f>
        <v>2418</v>
      </c>
      <c r="I29" s="12"/>
      <c r="J29" s="13" t="str">
        <f aca="false">IF(N(I29)=0,"",H29*I29)</f>
        <v/>
      </c>
      <c r="K29" s="14" t="s">
        <v>100</v>
      </c>
    </row>
    <row r="30" customFormat="false" ht="30" hidden="false" customHeight="true" outlineLevel="0" collapsed="false">
      <c r="A30" s="6" t="s">
        <v>101</v>
      </c>
      <c r="B30" s="7" t="s">
        <v>102</v>
      </c>
      <c r="C30" s="8" t="s">
        <v>90</v>
      </c>
      <c r="D30" s="8" t="s">
        <v>91</v>
      </c>
      <c r="E30" s="6" t="s">
        <v>92</v>
      </c>
      <c r="F30" s="15" t="s">
        <v>103</v>
      </c>
      <c r="G30" s="6" t="s">
        <v>64</v>
      </c>
      <c r="H30" s="15" t="s">
        <v>103</v>
      </c>
      <c r="I30" s="16"/>
      <c r="J30" s="16"/>
      <c r="K30" s="14" t="s">
        <v>104</v>
      </c>
    </row>
    <row r="31" customFormat="false" ht="30" hidden="false" customHeight="true" outlineLevel="0" collapsed="false">
      <c r="A31" s="6" t="s">
        <v>105</v>
      </c>
      <c r="B31" s="7" t="s">
        <v>106</v>
      </c>
      <c r="C31" s="8" t="s">
        <v>90</v>
      </c>
      <c r="D31" s="8" t="s">
        <v>91</v>
      </c>
      <c r="E31" s="6" t="s">
        <v>92</v>
      </c>
      <c r="F31" s="15" t="s">
        <v>103</v>
      </c>
      <c r="G31" s="6" t="s">
        <v>64</v>
      </c>
      <c r="H31" s="15" t="s">
        <v>103</v>
      </c>
      <c r="I31" s="16"/>
      <c r="J31" s="16"/>
      <c r="K31" s="14" t="s">
        <v>107</v>
      </c>
    </row>
    <row r="32" customFormat="false" ht="30" hidden="false" customHeight="true" outlineLevel="0" collapsed="false">
      <c r="A32" s="6" t="s">
        <v>108</v>
      </c>
      <c r="B32" s="7" t="s">
        <v>109</v>
      </c>
      <c r="C32" s="8" t="s">
        <v>110</v>
      </c>
      <c r="D32" s="8" t="s">
        <v>111</v>
      </c>
      <c r="E32" s="6" t="s">
        <v>92</v>
      </c>
      <c r="F32" s="9" t="n">
        <v>1169</v>
      </c>
      <c r="G32" s="10" t="n">
        <f aca="false">'Assumptions &amp; Notes'!$B$10</f>
        <v>14</v>
      </c>
      <c r="H32" s="11" t="n">
        <f aca="false">ROUND(F32*G32*(1+'Assumptions &amp; Notes'!$B$16),0)</f>
        <v>18003</v>
      </c>
      <c r="I32" s="12"/>
      <c r="J32" s="13" t="str">
        <f aca="false">IF(N(I32)=0,"",H32*I32)</f>
        <v/>
      </c>
      <c r="K32" s="14" t="s">
        <v>112</v>
      </c>
    </row>
    <row r="33" customFormat="false" ht="30" hidden="false" customHeight="true" outlineLevel="0" collapsed="false">
      <c r="A33" s="6" t="s">
        <v>113</v>
      </c>
      <c r="B33" s="7" t="s">
        <v>114</v>
      </c>
      <c r="C33" s="8" t="s">
        <v>115</v>
      </c>
      <c r="D33" s="8" t="s">
        <v>43</v>
      </c>
      <c r="E33" s="6" t="s">
        <v>19</v>
      </c>
      <c r="F33" s="9" t="n">
        <v>3</v>
      </c>
      <c r="G33" s="10" t="n">
        <f aca="false">'Assumptions &amp; Notes'!$B$10</f>
        <v>14</v>
      </c>
      <c r="H33" s="11" t="n">
        <f aca="false">F33*G33</f>
        <v>42</v>
      </c>
      <c r="I33" s="12"/>
      <c r="J33" s="13" t="str">
        <f aca="false">IF(N(I33)=0,"",H33*I33)</f>
        <v/>
      </c>
      <c r="K33" s="14" t="s">
        <v>116</v>
      </c>
    </row>
    <row r="34" customFormat="false" ht="30" hidden="false" customHeight="true" outlineLevel="0" collapsed="false">
      <c r="A34" s="6" t="s">
        <v>117</v>
      </c>
      <c r="B34" s="7" t="s">
        <v>118</v>
      </c>
      <c r="C34" s="8" t="s">
        <v>119</v>
      </c>
      <c r="D34" s="8" t="s">
        <v>43</v>
      </c>
      <c r="E34" s="6" t="s">
        <v>19</v>
      </c>
      <c r="F34" s="9" t="n">
        <v>3</v>
      </c>
      <c r="G34" s="10" t="n">
        <f aca="false">'Assumptions &amp; Notes'!$B$10</f>
        <v>14</v>
      </c>
      <c r="H34" s="11" t="n">
        <f aca="false">F34*G34</f>
        <v>42</v>
      </c>
      <c r="I34" s="12"/>
      <c r="J34" s="13" t="str">
        <f aca="false">IF(N(I34)=0,"",H34*I34)</f>
        <v/>
      </c>
      <c r="K34" s="14" t="s">
        <v>116</v>
      </c>
    </row>
    <row r="35" customFormat="false" ht="30" hidden="false" customHeight="true" outlineLevel="0" collapsed="false">
      <c r="A35" s="6" t="s">
        <v>120</v>
      </c>
      <c r="B35" s="7" t="s">
        <v>121</v>
      </c>
      <c r="C35" s="8" t="s">
        <v>64</v>
      </c>
      <c r="D35" s="8" t="s">
        <v>64</v>
      </c>
      <c r="E35" s="6" t="s">
        <v>19</v>
      </c>
      <c r="F35" s="9" t="n">
        <v>3</v>
      </c>
      <c r="G35" s="10" t="n">
        <f aca="false">'Assumptions &amp; Notes'!$B$10</f>
        <v>14</v>
      </c>
      <c r="H35" s="11" t="n">
        <f aca="false">F35*G35</f>
        <v>42</v>
      </c>
      <c r="I35" s="12"/>
      <c r="J35" s="13" t="str">
        <f aca="false">IF(N(I35)=0,"",H35*I35)</f>
        <v/>
      </c>
      <c r="K35" s="14" t="s">
        <v>122</v>
      </c>
    </row>
    <row r="37" customFormat="false" ht="15" hidden="false" customHeight="false" outlineLevel="0" collapsed="false">
      <c r="A37" s="17"/>
      <c r="B37" s="18" t="s">
        <v>123</v>
      </c>
      <c r="C37" s="17"/>
      <c r="D37" s="17"/>
      <c r="E37" s="17"/>
      <c r="F37" s="17"/>
      <c r="G37" s="17"/>
      <c r="H37" s="17"/>
      <c r="I37" s="17"/>
      <c r="J37" s="19" t="n">
        <f aca="false">SUM(J6:J35)</f>
        <v>0</v>
      </c>
      <c r="K37" s="17"/>
    </row>
    <row r="39" customFormat="false" ht="15" hidden="false" customHeight="false" outlineLevel="0" collapsed="false">
      <c r="A39" s="20" t="s">
        <v>124</v>
      </c>
    </row>
    <row r="40" customFormat="false" ht="15" hidden="false" customHeight="false" outlineLevel="0" collapsed="false">
      <c r="A40" s="20" t="s">
        <v>125</v>
      </c>
    </row>
  </sheetData>
  <mergeCells count="4">
    <mergeCell ref="A6:K6"/>
    <mergeCell ref="A13:K13"/>
    <mergeCell ref="A21:K21"/>
    <mergeCell ref="A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1" t="s">
        <v>127</v>
      </c>
      <c r="B2" s="22" t="s">
        <v>128</v>
      </c>
      <c r="C2" s="20" t="s">
        <v>129</v>
      </c>
    </row>
    <row r="3" customFormat="false" ht="15" hidden="false" customHeight="false" outlineLevel="0" collapsed="false">
      <c r="A3" s="21" t="s">
        <v>130</v>
      </c>
      <c r="B3" s="22" t="s">
        <v>131</v>
      </c>
      <c r="C3" s="20"/>
    </row>
    <row r="4" customFormat="false" ht="15" hidden="false" customHeight="false" outlineLevel="0" collapsed="false">
      <c r="A4" s="21" t="s">
        <v>132</v>
      </c>
      <c r="B4" s="22" t="s">
        <v>133</v>
      </c>
      <c r="C4" s="20" t="s">
        <v>134</v>
      </c>
    </row>
    <row r="5" customFormat="false" ht="15" hidden="false" customHeight="false" outlineLevel="0" collapsed="false">
      <c r="A5" s="21" t="s">
        <v>135</v>
      </c>
      <c r="B5" s="22" t="s">
        <v>136</v>
      </c>
      <c r="C5" s="20" t="s">
        <v>137</v>
      </c>
    </row>
    <row r="6" customFormat="false" ht="15" hidden="false" customHeight="false" outlineLevel="0" collapsed="false">
      <c r="A6" s="21" t="s">
        <v>138</v>
      </c>
      <c r="B6" s="22" t="s">
        <v>139</v>
      </c>
      <c r="C6" s="20"/>
    </row>
    <row r="7" customFormat="false" ht="15" hidden="false" customHeight="false" outlineLevel="0" collapsed="false">
      <c r="A7" s="21" t="s">
        <v>140</v>
      </c>
      <c r="B7" s="22" t="s">
        <v>141</v>
      </c>
      <c r="C7" s="20" t="s">
        <v>142</v>
      </c>
    </row>
    <row r="9" customFormat="false" ht="15" hidden="false" customHeight="false" outlineLevel="0" collapsed="false">
      <c r="A9" s="23" t="s">
        <v>143</v>
      </c>
    </row>
    <row r="10" customFormat="false" ht="15" hidden="false" customHeight="false" outlineLevel="0" collapsed="false">
      <c r="A10" s="22" t="s">
        <v>144</v>
      </c>
      <c r="B10" s="24" t="n">
        <v>14</v>
      </c>
      <c r="C10" s="20" t="s">
        <v>145</v>
      </c>
    </row>
    <row r="11" customFormat="false" ht="15" hidden="false" customHeight="false" outlineLevel="0" collapsed="false">
      <c r="A11" s="22" t="s">
        <v>146</v>
      </c>
      <c r="B11" s="24" t="n">
        <v>8</v>
      </c>
      <c r="C11" s="20" t="s">
        <v>147</v>
      </c>
    </row>
    <row r="12" customFormat="false" ht="15" hidden="false" customHeight="false" outlineLevel="0" collapsed="false">
      <c r="A12" s="22" t="s">
        <v>148</v>
      </c>
      <c r="B12" s="24" t="n">
        <v>2</v>
      </c>
      <c r="C12" s="20" t="s">
        <v>149</v>
      </c>
    </row>
    <row r="13" customFormat="false" ht="15" hidden="false" customHeight="false" outlineLevel="0" collapsed="false">
      <c r="A13" s="22" t="s">
        <v>150</v>
      </c>
      <c r="B13" s="24" t="n">
        <v>3</v>
      </c>
      <c r="C13" s="20" t="s">
        <v>151</v>
      </c>
    </row>
    <row r="14" customFormat="false" ht="15" hidden="false" customHeight="false" outlineLevel="0" collapsed="false">
      <c r="A14" s="22" t="s">
        <v>152</v>
      </c>
      <c r="B14" s="24" t="n">
        <v>1</v>
      </c>
      <c r="C14" s="20" t="s">
        <v>153</v>
      </c>
    </row>
    <row r="15" customFormat="false" ht="15" hidden="false" customHeight="false" outlineLevel="0" collapsed="false">
      <c r="A15" s="22" t="s">
        <v>154</v>
      </c>
      <c r="B15" s="24" t="n">
        <v>1</v>
      </c>
      <c r="C15" s="20" t="s">
        <v>155</v>
      </c>
    </row>
    <row r="16" customFormat="false" ht="15" hidden="false" customHeight="false" outlineLevel="0" collapsed="false">
      <c r="A16" s="22" t="s">
        <v>156</v>
      </c>
      <c r="B16" s="25" t="n">
        <v>0.1</v>
      </c>
      <c r="C16" s="20" t="s">
        <v>157</v>
      </c>
    </row>
    <row r="18" customFormat="false" ht="15" hidden="false" customHeight="false" outlineLevel="0" collapsed="false">
      <c r="A18" s="23" t="s">
        <v>158</v>
      </c>
    </row>
    <row r="19" customFormat="false" ht="15" hidden="false" customHeight="false" outlineLevel="0" collapsed="false">
      <c r="A19" s="26" t="s">
        <v>159</v>
      </c>
    </row>
    <row r="20" customFormat="false" ht="15" hidden="false" customHeight="false" outlineLevel="0" collapsed="false">
      <c r="A20" s="26" t="s">
        <v>160</v>
      </c>
    </row>
    <row r="21" customFormat="false" ht="15" hidden="false" customHeight="false" outlineLevel="0" collapsed="false">
      <c r="A21" s="26" t="s">
        <v>161</v>
      </c>
    </row>
    <row r="22" customFormat="false" ht="15" hidden="false" customHeight="false" outlineLevel="0" collapsed="false">
      <c r="A22" s="26" t="s">
        <v>162</v>
      </c>
    </row>
    <row r="23" customFormat="false" ht="15" hidden="false" customHeight="false" outlineLevel="0" collapsed="false">
      <c r="A23" s="26" t="s">
        <v>163</v>
      </c>
    </row>
    <row r="24" customFormat="false" ht="15" hidden="false" customHeight="false" outlineLevel="0" collapsed="false">
      <c r="A24" s="26" t="s">
        <v>164</v>
      </c>
    </row>
    <row r="25" customFormat="false" ht="15" hidden="false" customHeight="false" outlineLevel="0" collapsed="false">
      <c r="A25" s="26" t="s">
        <v>165</v>
      </c>
    </row>
    <row r="26" customFormat="false" ht="15" hidden="false" customHeight="false" outlineLevel="0" collapsed="false">
      <c r="A26" s="26" t="s">
        <v>166</v>
      </c>
    </row>
    <row r="28" customFormat="false" ht="15" hidden="false" customHeight="false" outlineLevel="0" collapsed="false">
      <c r="A28" s="27" t="s">
        <v>167</v>
      </c>
    </row>
    <row r="29" customFormat="false" ht="27.75" hidden="false" customHeight="true" outlineLevel="0" collapsed="false">
      <c r="A29" s="28" t="s">
        <v>168</v>
      </c>
      <c r="B29" s="29" t="s">
        <v>169</v>
      </c>
    </row>
    <row r="30" customFormat="false" ht="27.75" hidden="false" customHeight="true" outlineLevel="0" collapsed="false">
      <c r="A30" s="28" t="s">
        <v>170</v>
      </c>
      <c r="B30" s="29" t="s">
        <v>171</v>
      </c>
    </row>
    <row r="31" customFormat="false" ht="27.75" hidden="false" customHeight="true" outlineLevel="0" collapsed="false">
      <c r="A31" s="28" t="s">
        <v>172</v>
      </c>
      <c r="B31" s="29" t="s">
        <v>173</v>
      </c>
    </row>
    <row r="32" customFormat="false" ht="27.75" hidden="false" customHeight="true" outlineLevel="0" collapsed="false">
      <c r="A32" s="28" t="s">
        <v>174</v>
      </c>
      <c r="B32" s="29" t="s">
        <v>175</v>
      </c>
    </row>
    <row r="33" customFormat="false" ht="27.75" hidden="false" customHeight="true" outlineLevel="0" collapsed="false">
      <c r="A33" s="28" t="s">
        <v>176</v>
      </c>
      <c r="B33" s="29" t="s">
        <v>177</v>
      </c>
    </row>
    <row r="34" customFormat="false" ht="27.75" hidden="false" customHeight="true" outlineLevel="0" collapsed="false">
      <c r="A34" s="28" t="s">
        <v>178</v>
      </c>
      <c r="B34" s="29" t="s">
        <v>179</v>
      </c>
    </row>
    <row r="35" customFormat="false" ht="27.75" hidden="false" customHeight="true" outlineLevel="0" collapsed="false">
      <c r="A35" s="28" t="s">
        <v>180</v>
      </c>
      <c r="B35" s="29" t="s">
        <v>181</v>
      </c>
    </row>
    <row r="36" customFormat="false" ht="27.75" hidden="false" customHeight="true" outlineLevel="0" collapsed="false">
      <c r="A36" s="28" t="s">
        <v>182</v>
      </c>
      <c r="B36" s="29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30" t="s">
        <v>184</v>
      </c>
    </row>
    <row r="2" customFormat="false" ht="15" hidden="false" customHeight="false" outlineLevel="0" collapsed="false">
      <c r="A2" s="20" t="s">
        <v>185</v>
      </c>
    </row>
    <row r="4" customFormat="false" ht="15" hidden="false" customHeight="false" outlineLevel="0" collapsed="false">
      <c r="A4" s="31" t="s">
        <v>186</v>
      </c>
      <c r="B4" s="31" t="s">
        <v>187</v>
      </c>
      <c r="C4" s="31" t="s">
        <v>188</v>
      </c>
      <c r="D4" s="31" t="s">
        <v>189</v>
      </c>
      <c r="E4" s="31" t="s">
        <v>190</v>
      </c>
      <c r="F4" s="31" t="s">
        <v>191</v>
      </c>
      <c r="G4" s="31" t="s">
        <v>192</v>
      </c>
    </row>
    <row r="5" customFormat="false" ht="15" hidden="false" customHeight="false" outlineLevel="0" collapsed="false">
      <c r="A5" s="32" t="n">
        <v>1</v>
      </c>
      <c r="B5" s="32" t="s">
        <v>193</v>
      </c>
      <c r="C5" s="33" t="s">
        <v>194</v>
      </c>
      <c r="D5" s="33" t="s">
        <v>195</v>
      </c>
      <c r="E5" s="34" t="n">
        <v>1192414</v>
      </c>
      <c r="F5" s="34" t="n">
        <v>-98801</v>
      </c>
      <c r="G5" s="34" t="n">
        <v>714</v>
      </c>
    </row>
    <row r="6" customFormat="false" ht="15" hidden="false" customHeight="false" outlineLevel="0" collapsed="false">
      <c r="A6" s="32" t="n">
        <v>2</v>
      </c>
      <c r="B6" s="32" t="s">
        <v>196</v>
      </c>
      <c r="C6" s="33" t="s">
        <v>197</v>
      </c>
      <c r="D6" s="33" t="s">
        <v>198</v>
      </c>
      <c r="E6" s="34" t="n">
        <v>1192469</v>
      </c>
      <c r="F6" s="34" t="n">
        <v>-99713</v>
      </c>
      <c r="G6" s="34" t="n">
        <v>1280</v>
      </c>
    </row>
    <row r="7" customFormat="false" ht="15" hidden="false" customHeight="false" outlineLevel="0" collapsed="false">
      <c r="A7" s="32" t="n">
        <v>3</v>
      </c>
      <c r="B7" s="32" t="s">
        <v>199</v>
      </c>
      <c r="C7" s="33" t="s">
        <v>200</v>
      </c>
      <c r="D7" s="33" t="s">
        <v>201</v>
      </c>
      <c r="E7" s="34" t="n">
        <v>1200217</v>
      </c>
      <c r="F7" s="34" t="n">
        <v>-88402</v>
      </c>
      <c r="G7" s="34" t="n">
        <v>1927</v>
      </c>
    </row>
    <row r="8" customFormat="false" ht="15" hidden="false" customHeight="false" outlineLevel="0" collapsed="false">
      <c r="A8" s="32" t="n">
        <v>4</v>
      </c>
      <c r="B8" s="32" t="s">
        <v>199</v>
      </c>
      <c r="C8" s="33" t="s">
        <v>200</v>
      </c>
      <c r="D8" s="33"/>
      <c r="E8" s="34" t="n">
        <v>1189517</v>
      </c>
      <c r="F8" s="34" t="n">
        <v>-90227</v>
      </c>
      <c r="G8" s="34"/>
    </row>
    <row r="9" customFormat="false" ht="15" hidden="false" customHeight="false" outlineLevel="0" collapsed="false">
      <c r="A9" s="32" t="n">
        <v>5</v>
      </c>
      <c r="B9" s="32" t="s">
        <v>199</v>
      </c>
      <c r="C9" s="33" t="s">
        <v>200</v>
      </c>
      <c r="D9" s="33" t="s">
        <v>202</v>
      </c>
      <c r="E9" s="34" t="n">
        <v>1227250</v>
      </c>
      <c r="F9" s="34" t="n">
        <v>-94870</v>
      </c>
      <c r="G9" s="34" t="n">
        <v>1233</v>
      </c>
    </row>
    <row r="10" customFormat="false" ht="15" hidden="false" customHeight="false" outlineLevel="0" collapsed="false">
      <c r="A10" s="32" t="n">
        <v>6</v>
      </c>
      <c r="B10" s="32" t="s">
        <v>199</v>
      </c>
      <c r="C10" s="33" t="s">
        <v>200</v>
      </c>
      <c r="D10" s="33" t="s">
        <v>203</v>
      </c>
      <c r="E10" s="34" t="n">
        <v>1218098</v>
      </c>
      <c r="F10" s="34" t="n">
        <v>-96370</v>
      </c>
      <c r="G10" s="34" t="n">
        <v>976</v>
      </c>
    </row>
    <row r="11" customFormat="false" ht="15" hidden="false" customHeight="false" outlineLevel="0" collapsed="false">
      <c r="A11" s="32" t="n">
        <v>7</v>
      </c>
      <c r="B11" s="32" t="s">
        <v>199</v>
      </c>
      <c r="C11" s="33" t="s">
        <v>200</v>
      </c>
      <c r="D11" s="33" t="s">
        <v>204</v>
      </c>
      <c r="E11" s="34" t="n">
        <v>1203394</v>
      </c>
      <c r="F11" s="34" t="n">
        <v>-96370</v>
      </c>
      <c r="G11" s="34" t="n">
        <v>1568</v>
      </c>
    </row>
    <row r="12" customFormat="false" ht="15" hidden="false" customHeight="false" outlineLevel="0" collapsed="false">
      <c r="A12" s="32" t="n">
        <v>8</v>
      </c>
      <c r="B12" s="32" t="s">
        <v>199</v>
      </c>
      <c r="C12" s="33" t="s">
        <v>200</v>
      </c>
      <c r="D12" s="33" t="s">
        <v>205</v>
      </c>
      <c r="E12" s="34" t="n">
        <v>1225015</v>
      </c>
      <c r="F12" s="34" t="n">
        <v>-96370</v>
      </c>
      <c r="G12" s="34" t="n">
        <v>1404</v>
      </c>
    </row>
    <row r="13" customFormat="false" ht="15" hidden="false" customHeight="false" outlineLevel="0" collapsed="false">
      <c r="A13" s="32" t="n">
        <v>9</v>
      </c>
      <c r="B13" s="32" t="s">
        <v>206</v>
      </c>
      <c r="C13" s="33" t="s">
        <v>207</v>
      </c>
      <c r="D13" s="33" t="s">
        <v>208</v>
      </c>
      <c r="E13" s="34" t="n">
        <v>1190157</v>
      </c>
      <c r="F13" s="34" t="n">
        <v>-70794</v>
      </c>
      <c r="G13" s="34" t="n">
        <v>1510</v>
      </c>
    </row>
    <row r="14" customFormat="false" ht="15" hidden="false" customHeight="false" outlineLevel="0" collapsed="false">
      <c r="A14" s="32" t="n">
        <v>10</v>
      </c>
      <c r="B14" s="32" t="s">
        <v>206</v>
      </c>
      <c r="C14" s="33" t="s">
        <v>207</v>
      </c>
      <c r="D14" s="33" t="s">
        <v>209</v>
      </c>
      <c r="E14" s="34" t="n">
        <v>1190157</v>
      </c>
      <c r="F14" s="34" t="n">
        <v>-78771</v>
      </c>
      <c r="G14" s="34" t="n">
        <v>1516</v>
      </c>
    </row>
    <row r="15" customFormat="false" ht="15" hidden="false" customHeight="false" outlineLevel="0" collapsed="false">
      <c r="A15" s="32" t="n">
        <v>11</v>
      </c>
      <c r="B15" s="32" t="s">
        <v>206</v>
      </c>
      <c r="C15" s="33" t="s">
        <v>207</v>
      </c>
      <c r="D15" s="33" t="s">
        <v>210</v>
      </c>
      <c r="E15" s="34" t="n">
        <v>1201396</v>
      </c>
      <c r="F15" s="34" t="n">
        <v>-85986</v>
      </c>
      <c r="G15" s="34" t="n">
        <v>888</v>
      </c>
    </row>
    <row r="16" customFormat="false" ht="15" hidden="false" customHeight="false" outlineLevel="0" collapsed="false">
      <c r="A16" s="32" t="n">
        <v>12</v>
      </c>
      <c r="B16" s="32" t="s">
        <v>206</v>
      </c>
      <c r="C16" s="33" t="s">
        <v>207</v>
      </c>
      <c r="D16" s="33" t="s">
        <v>211</v>
      </c>
      <c r="E16" s="34" t="n">
        <v>1190157</v>
      </c>
      <c r="F16" s="34" t="n">
        <v>-86768</v>
      </c>
      <c r="G16" s="34" t="n">
        <v>774</v>
      </c>
    </row>
    <row r="17" customFormat="false" ht="15" hidden="false" customHeight="false" outlineLevel="0" collapsed="false">
      <c r="A17" s="32" t="n">
        <v>13</v>
      </c>
      <c r="B17" s="32" t="s">
        <v>206</v>
      </c>
      <c r="C17" s="33" t="s">
        <v>207</v>
      </c>
      <c r="D17" s="33" t="s">
        <v>212</v>
      </c>
      <c r="E17" s="34" t="n">
        <v>1201352</v>
      </c>
      <c r="F17" s="34" t="n">
        <v>-91601</v>
      </c>
      <c r="G17" s="34" t="n">
        <v>478</v>
      </c>
    </row>
    <row r="18" customFormat="false" ht="15" hidden="false" customHeight="false" outlineLevel="0" collapsed="false">
      <c r="A18" s="32" t="n">
        <v>14</v>
      </c>
      <c r="B18" s="32" t="s">
        <v>206</v>
      </c>
      <c r="C18" s="33" t="s">
        <v>207</v>
      </c>
      <c r="D18" s="33" t="s">
        <v>213</v>
      </c>
      <c r="E18" s="34" t="n">
        <v>1192744</v>
      </c>
      <c r="F18" s="34" t="n">
        <v>-92279</v>
      </c>
      <c r="G18" s="34" t="n">
        <v>787</v>
      </c>
    </row>
    <row r="19" customFormat="false" ht="15" hidden="false" customHeight="false" outlineLevel="0" collapsed="false">
      <c r="A19" s="32" t="n">
        <v>15</v>
      </c>
      <c r="B19" s="32" t="s">
        <v>206</v>
      </c>
      <c r="C19" s="33" t="s">
        <v>207</v>
      </c>
      <c r="D19" s="33" t="s">
        <v>214</v>
      </c>
      <c r="E19" s="34" t="n">
        <v>1190157</v>
      </c>
      <c r="F19" s="34" t="n">
        <v>-94749</v>
      </c>
      <c r="G19" s="34" t="n">
        <v>793</v>
      </c>
    </row>
    <row r="20" customFormat="false" ht="15" hidden="false" customHeight="false" outlineLevel="0" collapsed="false">
      <c r="A20" s="32" t="n">
        <v>16</v>
      </c>
      <c r="B20" s="32" t="s">
        <v>206</v>
      </c>
      <c r="C20" s="33" t="s">
        <v>207</v>
      </c>
      <c r="D20" s="33" t="s">
        <v>215</v>
      </c>
      <c r="E20" s="34" t="n">
        <v>1236637</v>
      </c>
      <c r="F20" s="34" t="n">
        <v>-95542</v>
      </c>
      <c r="G20" s="34" t="n">
        <v>419</v>
      </c>
    </row>
    <row r="21" customFormat="false" ht="15" hidden="false" customHeight="false" outlineLevel="0" collapsed="false">
      <c r="A21" s="32" t="n">
        <v>17</v>
      </c>
      <c r="B21" s="32" t="s">
        <v>206</v>
      </c>
      <c r="C21" s="33" t="s">
        <v>207</v>
      </c>
      <c r="D21" s="33" t="s">
        <v>202</v>
      </c>
      <c r="E21" s="34" t="n">
        <v>1228626</v>
      </c>
      <c r="F21" s="34" t="n">
        <v>-95542</v>
      </c>
      <c r="G21" s="34" t="n">
        <v>358</v>
      </c>
    </row>
    <row r="22" customFormat="false" ht="15" hidden="false" customHeight="false" outlineLevel="0" collapsed="false">
      <c r="A22" s="32" t="n">
        <v>18</v>
      </c>
      <c r="B22" s="32" t="s">
        <v>206</v>
      </c>
      <c r="C22" s="33" t="s">
        <v>207</v>
      </c>
      <c r="D22" s="33" t="s">
        <v>216</v>
      </c>
      <c r="E22" s="34" t="n">
        <v>1220640</v>
      </c>
      <c r="F22" s="34" t="n">
        <v>-95542</v>
      </c>
      <c r="G22" s="34" t="n">
        <v>675</v>
      </c>
    </row>
    <row r="23" customFormat="false" ht="15" hidden="false" customHeight="false" outlineLevel="0" collapsed="false">
      <c r="A23" s="32" t="n">
        <v>19</v>
      </c>
      <c r="B23" s="32" t="s">
        <v>206</v>
      </c>
      <c r="C23" s="33" t="s">
        <v>207</v>
      </c>
      <c r="D23" s="33" t="s">
        <v>217</v>
      </c>
      <c r="E23" s="34" t="n">
        <v>1212627</v>
      </c>
      <c r="F23" s="34" t="n">
        <v>-95542</v>
      </c>
      <c r="G23" s="34" t="n">
        <v>469</v>
      </c>
    </row>
    <row r="24" customFormat="false" ht="15" hidden="false" customHeight="false" outlineLevel="0" collapsed="false">
      <c r="A24" s="32" t="n">
        <v>20</v>
      </c>
      <c r="B24" s="32" t="s">
        <v>206</v>
      </c>
      <c r="C24" s="33" t="s">
        <v>207</v>
      </c>
      <c r="D24" s="33" t="s">
        <v>218</v>
      </c>
      <c r="E24" s="34" t="n">
        <v>1204638</v>
      </c>
      <c r="F24" s="34" t="n">
        <v>-95542</v>
      </c>
      <c r="G24" s="34" t="n">
        <v>274</v>
      </c>
    </row>
    <row r="25" customFormat="false" ht="15" hidden="false" customHeight="false" outlineLevel="0" collapsed="false">
      <c r="A25" s="32" t="n">
        <v>21</v>
      </c>
      <c r="B25" s="32" t="s">
        <v>206</v>
      </c>
      <c r="C25" s="33" t="s">
        <v>207</v>
      </c>
      <c r="D25" s="33" t="s">
        <v>219</v>
      </c>
      <c r="E25" s="34" t="n">
        <v>1196639</v>
      </c>
      <c r="F25" s="34" t="n">
        <v>-95542</v>
      </c>
      <c r="G25" s="34" t="n">
        <v>274</v>
      </c>
    </row>
    <row r="26" customFormat="false" ht="15" hidden="false" customHeight="false" outlineLevel="0" collapsed="false">
      <c r="A26" s="32" t="n">
        <v>22</v>
      </c>
      <c r="B26" s="32" t="s">
        <v>220</v>
      </c>
      <c r="C26" s="33" t="s">
        <v>221</v>
      </c>
      <c r="D26" s="33" t="s">
        <v>222</v>
      </c>
      <c r="E26" s="34" t="n">
        <v>1189737</v>
      </c>
      <c r="F26" s="34" t="n">
        <v>-87919</v>
      </c>
      <c r="G26" s="34" t="n">
        <v>1953</v>
      </c>
    </row>
    <row r="27" customFormat="false" ht="15" hidden="false" customHeight="false" outlineLevel="0" collapsed="false">
      <c r="A27" s="32" t="n">
        <v>23</v>
      </c>
      <c r="B27" s="32" t="s">
        <v>223</v>
      </c>
      <c r="C27" s="33" t="s">
        <v>62</v>
      </c>
      <c r="D27" s="33" t="s">
        <v>224</v>
      </c>
      <c r="E27" s="34" t="n">
        <v>1196650</v>
      </c>
      <c r="F27" s="34" t="n">
        <v>-82391</v>
      </c>
      <c r="G27" s="34" t="n">
        <v>2098</v>
      </c>
    </row>
    <row r="28" customFormat="false" ht="15" hidden="false" customHeight="false" outlineLevel="0" collapsed="false">
      <c r="A28" s="32" t="n">
        <v>24</v>
      </c>
      <c r="B28" s="32" t="s">
        <v>225</v>
      </c>
      <c r="C28" s="33" t="s">
        <v>226</v>
      </c>
      <c r="D28" s="33" t="s">
        <v>227</v>
      </c>
      <c r="E28" s="34" t="n">
        <v>1192833</v>
      </c>
      <c r="F28" s="34" t="n">
        <v>-89442</v>
      </c>
      <c r="G28" s="34" t="n">
        <v>2269</v>
      </c>
    </row>
    <row r="29" customFormat="false" ht="15" hidden="false" customHeight="false" outlineLevel="0" collapsed="false">
      <c r="A29" s="32" t="n">
        <v>25</v>
      </c>
      <c r="B29" s="32" t="s">
        <v>225</v>
      </c>
      <c r="C29" s="33" t="s">
        <v>226</v>
      </c>
      <c r="D29" s="33" t="s">
        <v>213</v>
      </c>
      <c r="E29" s="34" t="n">
        <v>1193515</v>
      </c>
      <c r="F29" s="34" t="n">
        <v>-93942</v>
      </c>
      <c r="G29" s="34" t="n">
        <v>1417</v>
      </c>
    </row>
    <row r="30" customFormat="false" ht="15" hidden="false" customHeight="false" outlineLevel="0" collapsed="false">
      <c r="A30" s="32" t="n">
        <v>26</v>
      </c>
      <c r="B30" s="32" t="s">
        <v>225</v>
      </c>
      <c r="C30" s="33" t="s">
        <v>226</v>
      </c>
      <c r="D30" s="33" t="s">
        <v>228</v>
      </c>
      <c r="E30" s="34" t="n">
        <v>1223531</v>
      </c>
      <c r="F30" s="34" t="n">
        <v>-94042</v>
      </c>
      <c r="G30" s="34" t="n">
        <v>1761</v>
      </c>
    </row>
    <row r="31" customFormat="false" ht="15" hidden="false" customHeight="false" outlineLevel="0" collapsed="false">
      <c r="A31" s="32" t="n">
        <v>27</v>
      </c>
      <c r="B31" s="32" t="s">
        <v>229</v>
      </c>
      <c r="C31" s="33" t="s">
        <v>230</v>
      </c>
      <c r="D31" s="33" t="s">
        <v>231</v>
      </c>
      <c r="E31" s="34" t="n">
        <v>1231955</v>
      </c>
      <c r="F31" s="34" t="n">
        <v>-97542</v>
      </c>
      <c r="G31" s="34" t="n">
        <v>273</v>
      </c>
    </row>
    <row r="32" customFormat="false" ht="15" hidden="false" customHeight="false" outlineLevel="0" collapsed="false">
      <c r="A32" s="32" t="n">
        <v>28</v>
      </c>
      <c r="B32" s="32" t="s">
        <v>232</v>
      </c>
      <c r="C32" s="33" t="s">
        <v>233</v>
      </c>
      <c r="D32" s="33" t="s">
        <v>234</v>
      </c>
      <c r="E32" s="34" t="n">
        <v>1183507</v>
      </c>
      <c r="F32" s="34" t="n">
        <v>-66592</v>
      </c>
      <c r="G32" s="34" t="n">
        <v>274</v>
      </c>
    </row>
    <row r="33" customFormat="false" ht="15" hidden="false" customHeight="false" outlineLevel="0" collapsed="false">
      <c r="A33" s="32" t="n">
        <v>29</v>
      </c>
      <c r="B33" s="32" t="s">
        <v>232</v>
      </c>
      <c r="C33" s="33" t="s">
        <v>233</v>
      </c>
      <c r="D33" s="33" t="s">
        <v>235</v>
      </c>
      <c r="E33" s="34" t="n">
        <v>1196807</v>
      </c>
      <c r="F33" s="34" t="n">
        <v>-66592</v>
      </c>
      <c r="G33" s="34" t="n">
        <v>2157</v>
      </c>
    </row>
    <row r="34" customFormat="false" ht="15" hidden="false" customHeight="false" outlineLevel="0" collapsed="false">
      <c r="A34" s="32" t="n">
        <v>30</v>
      </c>
      <c r="B34" s="32" t="s">
        <v>232</v>
      </c>
      <c r="C34" s="33" t="s">
        <v>233</v>
      </c>
      <c r="D34" s="33" t="s">
        <v>236</v>
      </c>
      <c r="E34" s="34" t="n">
        <v>1183257</v>
      </c>
      <c r="F34" s="34" t="n">
        <v>-73792</v>
      </c>
      <c r="G34" s="34" t="n">
        <v>292</v>
      </c>
    </row>
    <row r="35" customFormat="false" ht="15" hidden="false" customHeight="false" outlineLevel="0" collapsed="false">
      <c r="A35" s="32" t="n">
        <v>31</v>
      </c>
      <c r="B35" s="32" t="s">
        <v>232</v>
      </c>
      <c r="C35" s="33" t="s">
        <v>233</v>
      </c>
      <c r="D35" s="33" t="s">
        <v>237</v>
      </c>
      <c r="E35" s="34" t="n">
        <v>1197057</v>
      </c>
      <c r="F35" s="34" t="n">
        <v>-73792</v>
      </c>
      <c r="G35" s="34" t="n">
        <v>451</v>
      </c>
    </row>
    <row r="36" customFormat="false" ht="15" hidden="false" customHeight="false" outlineLevel="0" collapsed="false">
      <c r="A36" s="32" t="n">
        <v>32</v>
      </c>
      <c r="B36" s="32" t="s">
        <v>232</v>
      </c>
      <c r="C36" s="33" t="s">
        <v>233</v>
      </c>
      <c r="D36" s="33" t="s">
        <v>238</v>
      </c>
      <c r="E36" s="34" t="n">
        <v>1183257</v>
      </c>
      <c r="F36" s="34" t="n">
        <v>-77367</v>
      </c>
      <c r="G36" s="34" t="n">
        <v>440</v>
      </c>
    </row>
    <row r="37" customFormat="false" ht="15" hidden="false" customHeight="false" outlineLevel="0" collapsed="false">
      <c r="A37" s="32" t="n">
        <v>33</v>
      </c>
      <c r="B37" s="32" t="s">
        <v>232</v>
      </c>
      <c r="C37" s="33" t="s">
        <v>233</v>
      </c>
      <c r="D37" s="33" t="s">
        <v>239</v>
      </c>
      <c r="E37" s="34" t="n">
        <v>1197057</v>
      </c>
      <c r="F37" s="34" t="n">
        <v>-77367</v>
      </c>
      <c r="G37" s="34" t="n">
        <v>424</v>
      </c>
    </row>
    <row r="38" customFormat="false" ht="15" hidden="false" customHeight="false" outlineLevel="0" collapsed="false">
      <c r="A38" s="32" t="n">
        <v>34</v>
      </c>
      <c r="B38" s="32" t="s">
        <v>232</v>
      </c>
      <c r="C38" s="33" t="s">
        <v>233</v>
      </c>
      <c r="D38" s="33" t="s">
        <v>240</v>
      </c>
      <c r="E38" s="34" t="n">
        <v>1183257</v>
      </c>
      <c r="F38" s="34" t="n">
        <v>-81317</v>
      </c>
      <c r="G38" s="34" t="n">
        <v>309</v>
      </c>
    </row>
    <row r="39" customFormat="false" ht="15" hidden="false" customHeight="false" outlineLevel="0" collapsed="false">
      <c r="A39" s="32" t="n">
        <v>35</v>
      </c>
      <c r="B39" s="32" t="s">
        <v>232</v>
      </c>
      <c r="C39" s="33" t="s">
        <v>233</v>
      </c>
      <c r="D39" s="33" t="s">
        <v>224</v>
      </c>
      <c r="E39" s="34" t="n">
        <v>1197057</v>
      </c>
      <c r="F39" s="34" t="n">
        <v>-81317</v>
      </c>
      <c r="G39" s="34" t="n">
        <v>1994</v>
      </c>
    </row>
    <row r="40" customFormat="false" ht="15" hidden="false" customHeight="false" outlineLevel="0" collapsed="false">
      <c r="A40" s="32" t="n">
        <v>36</v>
      </c>
      <c r="B40" s="32" t="s">
        <v>232</v>
      </c>
      <c r="C40" s="33" t="s">
        <v>233</v>
      </c>
      <c r="D40" s="33" t="s">
        <v>241</v>
      </c>
      <c r="E40" s="34" t="n">
        <v>1225607</v>
      </c>
      <c r="F40" s="34" t="n">
        <v>-88092</v>
      </c>
      <c r="G40" s="34" t="n">
        <v>1005</v>
      </c>
    </row>
    <row r="41" customFormat="false" ht="15" hidden="false" customHeight="false" outlineLevel="0" collapsed="false">
      <c r="A41" s="32" t="n">
        <v>37</v>
      </c>
      <c r="B41" s="32" t="s">
        <v>232</v>
      </c>
      <c r="C41" s="33" t="s">
        <v>233</v>
      </c>
      <c r="D41" s="33" t="s">
        <v>242</v>
      </c>
      <c r="E41" s="34" t="n">
        <v>1244407</v>
      </c>
      <c r="F41" s="34" t="n">
        <v>-88142</v>
      </c>
      <c r="G41" s="34" t="n">
        <v>654</v>
      </c>
    </row>
    <row r="42" customFormat="false" ht="15" hidden="false" customHeight="false" outlineLevel="0" collapsed="false">
      <c r="A42" s="32" t="n">
        <v>38</v>
      </c>
      <c r="B42" s="32" t="s">
        <v>232</v>
      </c>
      <c r="C42" s="33" t="s">
        <v>233</v>
      </c>
      <c r="D42" s="33" t="s">
        <v>243</v>
      </c>
      <c r="E42" s="34" t="n">
        <v>1247557</v>
      </c>
      <c r="F42" s="34" t="n">
        <v>-88217</v>
      </c>
      <c r="G42" s="34" t="n">
        <v>813</v>
      </c>
    </row>
    <row r="43" customFormat="false" ht="15" hidden="false" customHeight="false" outlineLevel="0" collapsed="false">
      <c r="A43" s="32" t="n">
        <v>39</v>
      </c>
      <c r="B43" s="32" t="s">
        <v>232</v>
      </c>
      <c r="C43" s="33" t="s">
        <v>233</v>
      </c>
      <c r="D43" s="33" t="s">
        <v>244</v>
      </c>
      <c r="E43" s="34" t="n">
        <v>1207607</v>
      </c>
      <c r="F43" s="34" t="n">
        <v>-88242</v>
      </c>
      <c r="G43" s="34" t="n">
        <v>630</v>
      </c>
    </row>
    <row r="44" customFormat="false" ht="15" hidden="false" customHeight="false" outlineLevel="0" collapsed="false">
      <c r="A44" s="32" t="n">
        <v>40</v>
      </c>
      <c r="B44" s="32" t="s">
        <v>232</v>
      </c>
      <c r="C44" s="33" t="s">
        <v>233</v>
      </c>
      <c r="D44" s="33" t="s">
        <v>245</v>
      </c>
      <c r="E44" s="34" t="n">
        <v>1218558</v>
      </c>
      <c r="F44" s="34" t="n">
        <v>-88285</v>
      </c>
      <c r="G44" s="34" t="n">
        <v>1886</v>
      </c>
    </row>
    <row r="45" customFormat="false" ht="15" hidden="false" customHeight="false" outlineLevel="0" collapsed="false">
      <c r="A45" s="32" t="n">
        <v>41</v>
      </c>
      <c r="B45" s="32" t="s">
        <v>232</v>
      </c>
      <c r="C45" s="33" t="s">
        <v>233</v>
      </c>
      <c r="D45" s="33" t="s">
        <v>246</v>
      </c>
      <c r="E45" s="34" t="n">
        <v>1183182</v>
      </c>
      <c r="F45" s="34" t="n">
        <v>-88317</v>
      </c>
      <c r="G45" s="34" t="n">
        <v>413</v>
      </c>
    </row>
    <row r="46" customFormat="false" ht="15" hidden="false" customHeight="false" outlineLevel="0" collapsed="false">
      <c r="A46" s="32" t="n">
        <v>42</v>
      </c>
      <c r="B46" s="32" t="s">
        <v>232</v>
      </c>
      <c r="C46" s="33" t="s">
        <v>233</v>
      </c>
      <c r="D46" s="33" t="s">
        <v>247</v>
      </c>
      <c r="E46" s="34" t="n">
        <v>1237007</v>
      </c>
      <c r="F46" s="34" t="n">
        <v>-88642</v>
      </c>
      <c r="G46" s="34" t="n">
        <v>1208</v>
      </c>
    </row>
    <row r="47" customFormat="false" ht="15" hidden="false" customHeight="false" outlineLevel="0" collapsed="false">
      <c r="A47" s="32" t="n">
        <v>43</v>
      </c>
      <c r="B47" s="32" t="s">
        <v>232</v>
      </c>
      <c r="C47" s="33" t="s">
        <v>233</v>
      </c>
      <c r="D47" s="33" t="s">
        <v>248</v>
      </c>
      <c r="E47" s="34" t="n">
        <v>1229145</v>
      </c>
      <c r="F47" s="34" t="n">
        <v>-88642</v>
      </c>
      <c r="G47" s="34" t="n">
        <v>1489</v>
      </c>
    </row>
    <row r="48" customFormat="false" ht="15" hidden="false" customHeight="false" outlineLevel="0" collapsed="false">
      <c r="A48" s="32" t="n">
        <v>44</v>
      </c>
      <c r="B48" s="32" t="s">
        <v>232</v>
      </c>
      <c r="C48" s="33" t="s">
        <v>233</v>
      </c>
      <c r="D48" s="33" t="s">
        <v>249</v>
      </c>
      <c r="E48" s="34" t="n">
        <v>1233020</v>
      </c>
      <c r="F48" s="34" t="n">
        <v>-88692</v>
      </c>
      <c r="G48" s="34" t="n">
        <v>1037</v>
      </c>
    </row>
    <row r="49" customFormat="false" ht="15" hidden="false" customHeight="false" outlineLevel="0" collapsed="false">
      <c r="A49" s="32" t="n">
        <v>45</v>
      </c>
      <c r="B49" s="32" t="s">
        <v>232</v>
      </c>
      <c r="C49" s="33" t="s">
        <v>233</v>
      </c>
      <c r="D49" s="33" t="s">
        <v>250</v>
      </c>
      <c r="E49" s="34" t="n">
        <v>1183182</v>
      </c>
      <c r="F49" s="34" t="n">
        <v>-92167</v>
      </c>
      <c r="G49" s="34" t="n">
        <v>570</v>
      </c>
    </row>
    <row r="50" customFormat="false" ht="15" hidden="false" customHeight="false" outlineLevel="0" collapsed="false">
      <c r="A50" s="32" t="n">
        <v>46</v>
      </c>
      <c r="B50" s="32" t="s">
        <v>232</v>
      </c>
      <c r="C50" s="33" t="s">
        <v>233</v>
      </c>
      <c r="D50" s="33" t="s">
        <v>251</v>
      </c>
      <c r="E50" s="34" t="n">
        <v>1248207</v>
      </c>
      <c r="F50" s="34" t="n">
        <v>-94242</v>
      </c>
      <c r="G50" s="34" t="n">
        <v>1535</v>
      </c>
    </row>
    <row r="51" customFormat="false" ht="15" hidden="false" customHeight="false" outlineLevel="0" collapsed="false">
      <c r="A51" s="32" t="n">
        <v>47</v>
      </c>
      <c r="B51" s="32" t="s">
        <v>232</v>
      </c>
      <c r="C51" s="33" t="s">
        <v>233</v>
      </c>
      <c r="D51" s="33" t="s">
        <v>252</v>
      </c>
      <c r="E51" s="34" t="n">
        <v>1248044</v>
      </c>
      <c r="F51" s="34" t="n">
        <v>-96842</v>
      </c>
      <c r="G51" s="34" t="n">
        <v>1740</v>
      </c>
    </row>
    <row r="52" customFormat="false" ht="15" hidden="false" customHeight="false" outlineLevel="0" collapsed="false">
      <c r="A52" s="32" t="n">
        <v>48</v>
      </c>
      <c r="B52" s="32" t="s">
        <v>232</v>
      </c>
      <c r="C52" s="33" t="s">
        <v>233</v>
      </c>
      <c r="D52" s="33" t="s">
        <v>253</v>
      </c>
      <c r="E52" s="34" t="n">
        <v>1221657</v>
      </c>
      <c r="F52" s="34" t="n">
        <v>-102442</v>
      </c>
      <c r="G52" s="34" t="n">
        <v>1858</v>
      </c>
    </row>
    <row r="53" customFormat="false" ht="15" hidden="false" customHeight="false" outlineLevel="0" collapsed="false">
      <c r="A53" s="32" t="n">
        <v>49</v>
      </c>
      <c r="B53" s="32" t="s">
        <v>232</v>
      </c>
      <c r="C53" s="33" t="s">
        <v>233</v>
      </c>
      <c r="D53" s="33" t="s">
        <v>254</v>
      </c>
      <c r="E53" s="34" t="n">
        <v>1210707</v>
      </c>
      <c r="F53" s="34" t="n">
        <v>-102442</v>
      </c>
      <c r="G53" s="34" t="n">
        <v>1093</v>
      </c>
    </row>
    <row r="54" customFormat="false" ht="15" hidden="false" customHeight="false" outlineLevel="0" collapsed="false">
      <c r="A54" s="32" t="n">
        <v>50</v>
      </c>
      <c r="B54" s="32" t="s">
        <v>232</v>
      </c>
      <c r="C54" s="33" t="s">
        <v>233</v>
      </c>
      <c r="D54" s="33" t="s">
        <v>255</v>
      </c>
      <c r="E54" s="34" t="n">
        <v>1247907</v>
      </c>
      <c r="F54" s="34" t="n">
        <v>-102842</v>
      </c>
      <c r="G54" s="34" t="n">
        <v>698</v>
      </c>
    </row>
    <row r="55" customFormat="false" ht="15" hidden="false" customHeight="false" outlineLevel="0" collapsed="false">
      <c r="A55" s="32" t="n">
        <v>51</v>
      </c>
      <c r="B55" s="32" t="s">
        <v>232</v>
      </c>
      <c r="C55" s="33" t="s">
        <v>233</v>
      </c>
      <c r="D55" s="33" t="s">
        <v>256</v>
      </c>
      <c r="E55" s="34" t="n">
        <v>1192157</v>
      </c>
      <c r="F55" s="34" t="n">
        <v>-102892</v>
      </c>
      <c r="G55" s="34" t="n">
        <v>2069</v>
      </c>
    </row>
    <row r="56" customFormat="false" ht="15" hidden="false" customHeight="false" outlineLevel="0" collapsed="false">
      <c r="A56" s="32" t="n">
        <v>52</v>
      </c>
      <c r="B56" s="32" t="s">
        <v>232</v>
      </c>
      <c r="C56" s="33" t="s">
        <v>233</v>
      </c>
      <c r="D56" s="33" t="s">
        <v>257</v>
      </c>
      <c r="E56" s="34" t="n">
        <v>1182957</v>
      </c>
      <c r="F56" s="34" t="n">
        <v>-102892</v>
      </c>
      <c r="G56" s="34" t="n">
        <v>1401</v>
      </c>
    </row>
    <row r="57" customFormat="false" ht="15" hidden="false" customHeight="false" outlineLevel="0" collapsed="false">
      <c r="A57" s="32" t="n">
        <v>53</v>
      </c>
      <c r="B57" s="32" t="s">
        <v>232</v>
      </c>
      <c r="C57" s="33" t="s">
        <v>233</v>
      </c>
      <c r="D57" s="33" t="s">
        <v>258</v>
      </c>
      <c r="E57" s="34" t="n">
        <v>1244407</v>
      </c>
      <c r="F57" s="34" t="n">
        <v>-102942</v>
      </c>
      <c r="G57" s="34" t="n">
        <v>276</v>
      </c>
    </row>
    <row r="58" customFormat="false" ht="15" hidden="false" customHeight="false" outlineLevel="0" collapsed="false">
      <c r="A58" s="32" t="n">
        <v>54</v>
      </c>
      <c r="B58" s="32" t="s">
        <v>232</v>
      </c>
      <c r="C58" s="33" t="s">
        <v>233</v>
      </c>
      <c r="D58" s="33" t="s">
        <v>259</v>
      </c>
      <c r="E58" s="34" t="n">
        <v>1218007</v>
      </c>
      <c r="F58" s="34" t="n">
        <v>-103042</v>
      </c>
      <c r="G58" s="34" t="n">
        <v>387</v>
      </c>
    </row>
    <row r="59" customFormat="false" ht="15" hidden="false" customHeight="false" outlineLevel="0" collapsed="false">
      <c r="A59" s="32" t="n">
        <v>55</v>
      </c>
      <c r="B59" s="32" t="s">
        <v>232</v>
      </c>
      <c r="C59" s="33" t="s">
        <v>233</v>
      </c>
      <c r="D59" s="33" t="s">
        <v>260</v>
      </c>
      <c r="E59" s="34" t="n">
        <v>1203382</v>
      </c>
      <c r="F59" s="34" t="n">
        <v>-103042</v>
      </c>
      <c r="G59" s="34" t="n">
        <v>914</v>
      </c>
    </row>
    <row r="60" customFormat="false" ht="15" hidden="false" customHeight="false" outlineLevel="0" collapsed="false">
      <c r="A60" s="32" t="n">
        <v>56</v>
      </c>
      <c r="B60" s="32" t="s">
        <v>232</v>
      </c>
      <c r="C60" s="33" t="s">
        <v>233</v>
      </c>
      <c r="D60" s="33" t="s">
        <v>261</v>
      </c>
      <c r="E60" s="34" t="n">
        <v>1199632</v>
      </c>
      <c r="F60" s="34" t="n">
        <v>-103042</v>
      </c>
      <c r="G60" s="34" t="n">
        <v>423</v>
      </c>
    </row>
    <row r="61" customFormat="false" ht="15" hidden="false" customHeight="false" outlineLevel="0" collapsed="false">
      <c r="A61" s="32" t="n">
        <v>57</v>
      </c>
      <c r="B61" s="32" t="s">
        <v>232</v>
      </c>
      <c r="C61" s="33" t="s">
        <v>233</v>
      </c>
      <c r="D61" s="33" t="s">
        <v>262</v>
      </c>
      <c r="E61" s="34" t="n">
        <v>1233157</v>
      </c>
      <c r="F61" s="34" t="n">
        <v>-103142</v>
      </c>
      <c r="G61" s="34" t="n">
        <v>965</v>
      </c>
    </row>
    <row r="62" customFormat="false" ht="15" hidden="false" customHeight="false" outlineLevel="0" collapsed="false">
      <c r="A62" s="32" t="n">
        <v>58</v>
      </c>
      <c r="B62" s="32" t="s">
        <v>232</v>
      </c>
      <c r="C62" s="33" t="s">
        <v>233</v>
      </c>
      <c r="D62" s="33" t="s">
        <v>263</v>
      </c>
      <c r="E62" s="34" t="n">
        <v>1229157</v>
      </c>
      <c r="F62" s="34" t="n">
        <v>-103142</v>
      </c>
      <c r="G62" s="34" t="n">
        <v>745</v>
      </c>
    </row>
    <row r="63" customFormat="false" ht="15" hidden="false" customHeight="false" outlineLevel="0" collapsed="false">
      <c r="A63" s="32" t="n">
        <v>59</v>
      </c>
      <c r="B63" s="32" t="s">
        <v>264</v>
      </c>
      <c r="C63" s="33" t="s">
        <v>265</v>
      </c>
      <c r="D63" s="33" t="s">
        <v>266</v>
      </c>
      <c r="E63" s="34" t="n">
        <v>1192560</v>
      </c>
      <c r="F63" s="34" t="n">
        <v>-69792</v>
      </c>
      <c r="G63" s="34" t="n">
        <v>463</v>
      </c>
    </row>
    <row r="64" customFormat="false" ht="15" hidden="false" customHeight="false" outlineLevel="0" collapsed="false">
      <c r="A64" s="32" t="n">
        <v>60</v>
      </c>
      <c r="B64" s="32" t="s">
        <v>264</v>
      </c>
      <c r="C64" s="33" t="s">
        <v>265</v>
      </c>
      <c r="D64" s="33" t="s">
        <v>208</v>
      </c>
      <c r="E64" s="34" t="n">
        <v>1187780</v>
      </c>
      <c r="F64" s="34" t="n">
        <v>-69792</v>
      </c>
      <c r="G64" s="34" t="n">
        <v>1096</v>
      </c>
    </row>
    <row r="65" customFormat="false" ht="15" hidden="false" customHeight="false" outlineLevel="0" collapsed="false">
      <c r="A65" s="32" t="n">
        <v>61</v>
      </c>
      <c r="B65" s="32" t="s">
        <v>264</v>
      </c>
      <c r="C65" s="33" t="s">
        <v>265</v>
      </c>
      <c r="D65" s="33" t="s">
        <v>267</v>
      </c>
      <c r="E65" s="34" t="n">
        <v>1187505</v>
      </c>
      <c r="F65" s="34" t="n">
        <v>-74288</v>
      </c>
      <c r="G65" s="34" t="n">
        <v>2000</v>
      </c>
    </row>
    <row r="66" customFormat="false" ht="15" hidden="false" customHeight="false" outlineLevel="0" collapsed="false">
      <c r="A66" s="32" t="n">
        <v>62</v>
      </c>
      <c r="B66" s="32" t="s">
        <v>264</v>
      </c>
      <c r="C66" s="33" t="s">
        <v>265</v>
      </c>
      <c r="D66" s="33" t="s">
        <v>268</v>
      </c>
      <c r="E66" s="34" t="n">
        <v>1193057</v>
      </c>
      <c r="F66" s="34" t="n">
        <v>-74292</v>
      </c>
      <c r="G66" s="34" t="n">
        <v>369</v>
      </c>
    </row>
    <row r="67" customFormat="false" ht="15" hidden="false" customHeight="false" outlineLevel="0" collapsed="false">
      <c r="A67" s="32" t="n">
        <v>63</v>
      </c>
      <c r="B67" s="32" t="s">
        <v>264</v>
      </c>
      <c r="C67" s="33" t="s">
        <v>265</v>
      </c>
      <c r="D67" s="33" t="s">
        <v>269</v>
      </c>
      <c r="E67" s="34" t="n">
        <v>1193057</v>
      </c>
      <c r="F67" s="34" t="n">
        <v>-77013</v>
      </c>
      <c r="G67" s="34" t="n">
        <v>241</v>
      </c>
    </row>
    <row r="68" customFormat="false" ht="15" hidden="false" customHeight="false" outlineLevel="0" collapsed="false">
      <c r="A68" s="32" t="n">
        <v>64</v>
      </c>
      <c r="B68" s="32" t="s">
        <v>264</v>
      </c>
      <c r="C68" s="33" t="s">
        <v>265</v>
      </c>
      <c r="D68" s="33" t="s">
        <v>270</v>
      </c>
      <c r="E68" s="34" t="n">
        <v>1187505</v>
      </c>
      <c r="F68" s="34" t="n">
        <v>-77014</v>
      </c>
      <c r="G68" s="34" t="n">
        <v>1283</v>
      </c>
    </row>
    <row r="69" customFormat="false" ht="15" hidden="false" customHeight="false" outlineLevel="0" collapsed="false">
      <c r="A69" s="32" t="n">
        <v>65</v>
      </c>
      <c r="B69" s="32" t="s">
        <v>264</v>
      </c>
      <c r="C69" s="33" t="s">
        <v>265</v>
      </c>
      <c r="D69" s="33" t="s">
        <v>271</v>
      </c>
      <c r="E69" s="34" t="n">
        <v>1187495</v>
      </c>
      <c r="F69" s="34" t="n">
        <v>-81658</v>
      </c>
      <c r="G69" s="34" t="n">
        <v>568</v>
      </c>
    </row>
    <row r="70" customFormat="false" ht="15" hidden="false" customHeight="false" outlineLevel="0" collapsed="false">
      <c r="A70" s="32" t="n">
        <v>66</v>
      </c>
      <c r="B70" s="32" t="s">
        <v>264</v>
      </c>
      <c r="C70" s="33" t="s">
        <v>265</v>
      </c>
      <c r="D70" s="33" t="s">
        <v>272</v>
      </c>
      <c r="E70" s="34" t="n">
        <v>1193007</v>
      </c>
      <c r="F70" s="34" t="n">
        <v>-81664</v>
      </c>
      <c r="G70" s="34" t="n">
        <v>393</v>
      </c>
    </row>
    <row r="71" customFormat="false" ht="15" hidden="false" customHeight="false" outlineLevel="0" collapsed="false">
      <c r="A71" s="32" t="n">
        <v>67</v>
      </c>
      <c r="B71" s="32" t="s">
        <v>264</v>
      </c>
      <c r="C71" s="33" t="s">
        <v>265</v>
      </c>
      <c r="D71" s="33" t="s">
        <v>273</v>
      </c>
      <c r="E71" s="34" t="n">
        <v>1187851</v>
      </c>
      <c r="F71" s="34" t="n">
        <v>-84536</v>
      </c>
      <c r="G71" s="34" t="n">
        <v>711</v>
      </c>
    </row>
    <row r="72" customFormat="false" ht="15" hidden="false" customHeight="false" outlineLevel="0" collapsed="false">
      <c r="A72" s="32" t="n">
        <v>68</v>
      </c>
      <c r="B72" s="32" t="s">
        <v>264</v>
      </c>
      <c r="C72" s="33" t="s">
        <v>265</v>
      </c>
      <c r="D72" s="33" t="s">
        <v>274</v>
      </c>
      <c r="E72" s="34" t="n">
        <v>1226007</v>
      </c>
      <c r="F72" s="34" t="n">
        <v>-92092</v>
      </c>
      <c r="G72" s="34" t="n">
        <v>362</v>
      </c>
    </row>
    <row r="73" customFormat="false" ht="15" hidden="false" customHeight="false" outlineLevel="0" collapsed="false">
      <c r="A73" s="32" t="n">
        <v>69</v>
      </c>
      <c r="B73" s="32" t="s">
        <v>264</v>
      </c>
      <c r="C73" s="33" t="s">
        <v>265</v>
      </c>
      <c r="D73" s="33" t="s">
        <v>275</v>
      </c>
      <c r="E73" s="34" t="n">
        <v>1236307</v>
      </c>
      <c r="F73" s="34" t="n">
        <v>-92642</v>
      </c>
      <c r="G73" s="34" t="n">
        <v>912</v>
      </c>
    </row>
    <row r="74" customFormat="false" ht="15" hidden="false" customHeight="false" outlineLevel="0" collapsed="false">
      <c r="A74" s="32" t="n">
        <v>70</v>
      </c>
      <c r="B74" s="32" t="s">
        <v>264</v>
      </c>
      <c r="C74" s="33" t="s">
        <v>265</v>
      </c>
      <c r="D74" s="33" t="s">
        <v>276</v>
      </c>
      <c r="E74" s="34" t="n">
        <v>1233507</v>
      </c>
      <c r="F74" s="34" t="n">
        <v>-92642</v>
      </c>
      <c r="G74" s="34" t="n">
        <v>999</v>
      </c>
    </row>
    <row r="75" customFormat="false" ht="15" hidden="false" customHeight="false" outlineLevel="0" collapsed="false">
      <c r="A75" s="32" t="n">
        <v>71</v>
      </c>
      <c r="B75" s="32" t="s">
        <v>264</v>
      </c>
      <c r="C75" s="33" t="s">
        <v>265</v>
      </c>
      <c r="D75" s="33" t="s">
        <v>277</v>
      </c>
      <c r="E75" s="34" t="n">
        <v>1228707</v>
      </c>
      <c r="F75" s="34" t="n">
        <v>-92642</v>
      </c>
      <c r="G75" s="34" t="n">
        <v>1199</v>
      </c>
    </row>
    <row r="76" customFormat="false" ht="15" hidden="false" customHeight="false" outlineLevel="0" collapsed="false">
      <c r="A76" s="32" t="n">
        <v>72</v>
      </c>
      <c r="B76" s="32" t="s">
        <v>264</v>
      </c>
      <c r="C76" s="33" t="s">
        <v>265</v>
      </c>
      <c r="D76" s="33" t="s">
        <v>278</v>
      </c>
      <c r="E76" s="34" t="n">
        <v>1214526</v>
      </c>
      <c r="F76" s="34" t="n">
        <v>-93071</v>
      </c>
      <c r="G76" s="34" t="n">
        <v>430</v>
      </c>
    </row>
    <row r="77" customFormat="false" ht="15" hidden="false" customHeight="false" outlineLevel="0" collapsed="false">
      <c r="A77" s="32" t="n">
        <v>73</v>
      </c>
      <c r="B77" s="32" t="s">
        <v>264</v>
      </c>
      <c r="C77" s="33" t="s">
        <v>265</v>
      </c>
      <c r="D77" s="33" t="s">
        <v>279</v>
      </c>
      <c r="E77" s="34" t="n">
        <v>1211212</v>
      </c>
      <c r="F77" s="34" t="n">
        <v>-93247</v>
      </c>
      <c r="G77" s="34" t="n">
        <v>830</v>
      </c>
    </row>
    <row r="78" customFormat="false" ht="15" hidden="false" customHeight="false" outlineLevel="0" collapsed="false">
      <c r="A78" s="32" t="n">
        <v>74</v>
      </c>
      <c r="B78" s="32" t="s">
        <v>264</v>
      </c>
      <c r="C78" s="33" t="s">
        <v>265</v>
      </c>
      <c r="D78" s="33" t="s">
        <v>280</v>
      </c>
      <c r="E78" s="34" t="n">
        <v>1240976</v>
      </c>
      <c r="F78" s="34" t="n">
        <v>-94242</v>
      </c>
      <c r="G78" s="34" t="n">
        <v>944</v>
      </c>
    </row>
    <row r="79" customFormat="false" ht="15" hidden="false" customHeight="false" outlineLevel="0" collapsed="false">
      <c r="A79" s="32" t="n">
        <v>75</v>
      </c>
      <c r="B79" s="32" t="s">
        <v>264</v>
      </c>
      <c r="C79" s="33" t="s">
        <v>265</v>
      </c>
      <c r="D79" s="33" t="s">
        <v>281</v>
      </c>
      <c r="E79" s="34" t="n">
        <v>1187874</v>
      </c>
      <c r="F79" s="34" t="n">
        <v>-96022</v>
      </c>
      <c r="G79" s="34" t="n">
        <v>946</v>
      </c>
    </row>
    <row r="80" customFormat="false" ht="15" hidden="false" customHeight="false" outlineLevel="0" collapsed="false">
      <c r="A80" s="32" t="n">
        <v>76</v>
      </c>
      <c r="B80" s="32" t="s">
        <v>264</v>
      </c>
      <c r="C80" s="33" t="s">
        <v>265</v>
      </c>
      <c r="D80" s="33" t="s">
        <v>282</v>
      </c>
      <c r="E80" s="34" t="n">
        <v>1240857</v>
      </c>
      <c r="F80" s="34" t="n">
        <v>-96842</v>
      </c>
      <c r="G80" s="34" t="n">
        <v>1269</v>
      </c>
    </row>
    <row r="81" customFormat="false" ht="15" hidden="false" customHeight="false" outlineLevel="0" collapsed="false">
      <c r="A81" s="32" t="n">
        <v>77</v>
      </c>
      <c r="B81" s="32" t="s">
        <v>264</v>
      </c>
      <c r="C81" s="33" t="s">
        <v>265</v>
      </c>
      <c r="D81" s="33" t="s">
        <v>283</v>
      </c>
      <c r="E81" s="34" t="n">
        <v>1237007</v>
      </c>
      <c r="F81" s="34" t="n">
        <v>-97842</v>
      </c>
      <c r="G81" s="34" t="n">
        <v>668</v>
      </c>
    </row>
    <row r="82" customFormat="false" ht="15" hidden="false" customHeight="false" outlineLevel="0" collapsed="false">
      <c r="A82" s="32" t="n">
        <v>78</v>
      </c>
      <c r="B82" s="32" t="s">
        <v>264</v>
      </c>
      <c r="C82" s="33" t="s">
        <v>265</v>
      </c>
      <c r="D82" s="33" t="s">
        <v>284</v>
      </c>
      <c r="E82" s="34" t="n">
        <v>1213938</v>
      </c>
      <c r="F82" s="34" t="n">
        <v>-97842</v>
      </c>
      <c r="G82" s="34" t="n">
        <v>1145</v>
      </c>
    </row>
    <row r="83" customFormat="false" ht="15" hidden="false" customHeight="false" outlineLevel="0" collapsed="false">
      <c r="A83" s="32" t="n">
        <v>79</v>
      </c>
      <c r="B83" s="32" t="s">
        <v>264</v>
      </c>
      <c r="C83" s="33" t="s">
        <v>265</v>
      </c>
      <c r="D83" s="33" t="s">
        <v>285</v>
      </c>
      <c r="E83" s="34" t="n">
        <v>1207601</v>
      </c>
      <c r="F83" s="34" t="n">
        <v>-97867</v>
      </c>
      <c r="G83" s="34" t="n">
        <v>2031</v>
      </c>
    </row>
    <row r="84" customFormat="false" ht="15" hidden="false" customHeight="false" outlineLevel="0" collapsed="false">
      <c r="A84" s="32" t="n">
        <v>80</v>
      </c>
      <c r="B84" s="32" t="s">
        <v>264</v>
      </c>
      <c r="C84" s="33" t="s">
        <v>265</v>
      </c>
      <c r="D84" s="33" t="s">
        <v>286</v>
      </c>
      <c r="E84" s="34" t="n">
        <v>1224720</v>
      </c>
      <c r="F84" s="34" t="n">
        <v>-97886</v>
      </c>
      <c r="G84" s="34" t="n">
        <v>438</v>
      </c>
    </row>
    <row r="85" customFormat="false" ht="15" hidden="false" customHeight="false" outlineLevel="0" collapsed="false">
      <c r="A85" s="32" t="n">
        <v>81</v>
      </c>
      <c r="B85" s="32" t="s">
        <v>264</v>
      </c>
      <c r="C85" s="33" t="s">
        <v>265</v>
      </c>
      <c r="D85" s="33" t="s">
        <v>287</v>
      </c>
      <c r="E85" s="34" t="n">
        <v>1195230</v>
      </c>
      <c r="F85" s="34" t="n">
        <v>-97914</v>
      </c>
      <c r="G85" s="34" t="n">
        <v>400</v>
      </c>
    </row>
    <row r="86" customFormat="false" ht="15" hidden="false" customHeight="false" outlineLevel="0" collapsed="false">
      <c r="A86" s="32" t="n">
        <v>82</v>
      </c>
      <c r="B86" s="32" t="s">
        <v>264</v>
      </c>
      <c r="C86" s="33" t="s">
        <v>265</v>
      </c>
      <c r="D86" s="33" t="s">
        <v>288</v>
      </c>
      <c r="E86" s="34" t="n">
        <v>1222207</v>
      </c>
      <c r="F86" s="34" t="n">
        <v>-98442</v>
      </c>
      <c r="G86" s="34" t="n">
        <v>2031</v>
      </c>
    </row>
    <row r="87" customFormat="false" ht="15" hidden="false" customHeight="false" outlineLevel="0" collapsed="false">
      <c r="A87" s="32" t="n">
        <v>83</v>
      </c>
      <c r="B87" s="32" t="s">
        <v>264</v>
      </c>
      <c r="C87" s="33" t="s">
        <v>265</v>
      </c>
      <c r="D87" s="33" t="s">
        <v>285</v>
      </c>
      <c r="E87" s="34" t="n">
        <v>1210207</v>
      </c>
      <c r="F87" s="34" t="n">
        <v>-98442</v>
      </c>
      <c r="G87" s="34" t="n">
        <v>675</v>
      </c>
    </row>
    <row r="88" customFormat="false" ht="15" hidden="false" customHeight="false" outlineLevel="0" collapsed="false">
      <c r="A88" s="32" t="n">
        <v>84</v>
      </c>
      <c r="B88" s="32" t="s">
        <v>264</v>
      </c>
      <c r="C88" s="33" t="s">
        <v>265</v>
      </c>
      <c r="D88" s="33" t="s">
        <v>289</v>
      </c>
      <c r="E88" s="34" t="n">
        <v>1190349</v>
      </c>
      <c r="F88" s="34" t="n">
        <v>-99666</v>
      </c>
      <c r="G88" s="34" t="n">
        <v>1149</v>
      </c>
    </row>
    <row r="89" customFormat="false" ht="15" hidden="false" customHeight="false" outlineLevel="0" collapsed="false">
      <c r="A89" s="32" t="n">
        <v>85</v>
      </c>
      <c r="B89" s="32" t="s">
        <v>290</v>
      </c>
      <c r="C89" s="33" t="s">
        <v>291</v>
      </c>
      <c r="D89" s="33" t="s">
        <v>292</v>
      </c>
      <c r="E89" s="34" t="n">
        <v>1183813</v>
      </c>
      <c r="F89" s="34" t="n">
        <v>-70229</v>
      </c>
      <c r="G89" s="34" t="n">
        <v>583</v>
      </c>
    </row>
    <row r="90" customFormat="false" ht="15" hidden="false" customHeight="false" outlineLevel="0" collapsed="false">
      <c r="A90" s="32" t="n">
        <v>86</v>
      </c>
      <c r="B90" s="32" t="s">
        <v>290</v>
      </c>
      <c r="C90" s="33" t="s">
        <v>291</v>
      </c>
      <c r="D90" s="33" t="s">
        <v>293</v>
      </c>
      <c r="E90" s="34" t="n">
        <v>1196507</v>
      </c>
      <c r="F90" s="34" t="n">
        <v>-70242</v>
      </c>
      <c r="G90" s="34" t="n">
        <v>1976</v>
      </c>
    </row>
    <row r="91" customFormat="false" ht="15" hidden="false" customHeight="false" outlineLevel="0" collapsed="false">
      <c r="A91" s="32" t="n">
        <v>87</v>
      </c>
      <c r="B91" s="32" t="s">
        <v>290</v>
      </c>
      <c r="C91" s="33" t="s">
        <v>291</v>
      </c>
      <c r="D91" s="33" t="s">
        <v>208</v>
      </c>
      <c r="E91" s="34" t="n">
        <v>1190157</v>
      </c>
      <c r="F91" s="34" t="n">
        <v>-70276</v>
      </c>
      <c r="G91" s="34" t="n">
        <v>1330</v>
      </c>
    </row>
    <row r="92" customFormat="false" ht="15" hidden="false" customHeight="false" outlineLevel="0" collapsed="false">
      <c r="A92" s="32" t="n">
        <v>88</v>
      </c>
      <c r="B92" s="32" t="s">
        <v>290</v>
      </c>
      <c r="C92" s="33" t="s">
        <v>291</v>
      </c>
      <c r="D92" s="33" t="s">
        <v>209</v>
      </c>
      <c r="E92" s="34" t="n">
        <v>1190157</v>
      </c>
      <c r="F92" s="34" t="n">
        <v>-78276</v>
      </c>
      <c r="G92" s="34" t="n">
        <v>1757</v>
      </c>
    </row>
    <row r="93" customFormat="false" ht="15" hidden="false" customHeight="false" outlineLevel="0" collapsed="false">
      <c r="A93" s="32" t="n">
        <v>89</v>
      </c>
      <c r="B93" s="32" t="s">
        <v>290</v>
      </c>
      <c r="C93" s="33" t="s">
        <v>291</v>
      </c>
      <c r="D93" s="33" t="s">
        <v>294</v>
      </c>
      <c r="E93" s="34" t="n">
        <v>1195732</v>
      </c>
      <c r="F93" s="34" t="n">
        <v>-84742</v>
      </c>
      <c r="G93" s="34" t="n">
        <v>1934</v>
      </c>
    </row>
    <row r="94" customFormat="false" ht="15" hidden="false" customHeight="false" outlineLevel="0" collapsed="false">
      <c r="A94" s="32" t="n">
        <v>90</v>
      </c>
      <c r="B94" s="32" t="s">
        <v>290</v>
      </c>
      <c r="C94" s="33" t="s">
        <v>291</v>
      </c>
      <c r="D94" s="33" t="s">
        <v>295</v>
      </c>
      <c r="E94" s="34" t="n">
        <v>1183807</v>
      </c>
      <c r="F94" s="34" t="n">
        <v>-84892</v>
      </c>
      <c r="G94" s="34" t="n">
        <v>674</v>
      </c>
    </row>
    <row r="95" customFormat="false" ht="15" hidden="false" customHeight="false" outlineLevel="0" collapsed="false">
      <c r="A95" s="32" t="n">
        <v>91</v>
      </c>
      <c r="B95" s="32" t="s">
        <v>290</v>
      </c>
      <c r="C95" s="33" t="s">
        <v>291</v>
      </c>
      <c r="D95" s="33" t="s">
        <v>210</v>
      </c>
      <c r="E95" s="34" t="n">
        <v>1201357</v>
      </c>
      <c r="F95" s="34" t="n">
        <v>-85512</v>
      </c>
      <c r="G95" s="34" t="n">
        <v>493</v>
      </c>
    </row>
    <row r="96" customFormat="false" ht="15" hidden="false" customHeight="false" outlineLevel="0" collapsed="false">
      <c r="A96" s="32" t="n">
        <v>92</v>
      </c>
      <c r="B96" s="32" t="s">
        <v>290</v>
      </c>
      <c r="C96" s="33" t="s">
        <v>291</v>
      </c>
      <c r="D96" s="33" t="s">
        <v>211</v>
      </c>
      <c r="E96" s="34" t="n">
        <v>1190157</v>
      </c>
      <c r="F96" s="34" t="n">
        <v>-86276</v>
      </c>
      <c r="G96" s="34" t="n">
        <v>291</v>
      </c>
    </row>
    <row r="97" customFormat="false" ht="15" hidden="false" customHeight="false" outlineLevel="0" collapsed="false">
      <c r="A97" s="32" t="n">
        <v>93</v>
      </c>
      <c r="B97" s="32" t="s">
        <v>290</v>
      </c>
      <c r="C97" s="33" t="s">
        <v>291</v>
      </c>
      <c r="D97" s="33"/>
      <c r="E97" s="34" t="n">
        <v>1205143</v>
      </c>
      <c r="F97" s="34" t="n">
        <v>-86636</v>
      </c>
      <c r="G97" s="34"/>
    </row>
    <row r="98" customFormat="false" ht="15" hidden="false" customHeight="false" outlineLevel="0" collapsed="false">
      <c r="A98" s="32" t="n">
        <v>94</v>
      </c>
      <c r="B98" s="32" t="s">
        <v>290</v>
      </c>
      <c r="C98" s="33" t="s">
        <v>291</v>
      </c>
      <c r="D98" s="33" t="s">
        <v>296</v>
      </c>
      <c r="E98" s="34" t="n">
        <v>1197572</v>
      </c>
      <c r="F98" s="34" t="n">
        <v>-86636</v>
      </c>
      <c r="G98" s="34" t="n">
        <v>1136</v>
      </c>
    </row>
    <row r="99" customFormat="false" ht="15" hidden="false" customHeight="false" outlineLevel="0" collapsed="false">
      <c r="A99" s="32" t="n">
        <v>95</v>
      </c>
      <c r="B99" s="32" t="s">
        <v>290</v>
      </c>
      <c r="C99" s="33" t="s">
        <v>291</v>
      </c>
      <c r="D99" s="33" t="s">
        <v>296</v>
      </c>
      <c r="E99" s="34" t="n">
        <v>1196156</v>
      </c>
      <c r="F99" s="34" t="n">
        <v>-88114</v>
      </c>
      <c r="G99" s="34" t="n">
        <v>1995</v>
      </c>
    </row>
    <row r="100" customFormat="false" ht="15" hidden="false" customHeight="false" outlineLevel="0" collapsed="false">
      <c r="A100" s="32" t="n">
        <v>96</v>
      </c>
      <c r="B100" s="32" t="s">
        <v>290</v>
      </c>
      <c r="C100" s="33" t="s">
        <v>291</v>
      </c>
      <c r="D100" s="33" t="s">
        <v>297</v>
      </c>
      <c r="E100" s="34" t="n">
        <v>1210857</v>
      </c>
      <c r="F100" s="34" t="n">
        <v>-89192</v>
      </c>
      <c r="G100" s="34" t="n">
        <v>1732</v>
      </c>
    </row>
    <row r="101" customFormat="false" ht="15" hidden="false" customHeight="false" outlineLevel="0" collapsed="false">
      <c r="A101" s="32" t="n">
        <v>97</v>
      </c>
      <c r="B101" s="32" t="s">
        <v>290</v>
      </c>
      <c r="C101" s="33" t="s">
        <v>291</v>
      </c>
      <c r="D101" s="33"/>
      <c r="E101" s="34" t="n">
        <v>1222057</v>
      </c>
      <c r="F101" s="34" t="n">
        <v>-89391</v>
      </c>
      <c r="G101" s="34"/>
    </row>
    <row r="102" customFormat="false" ht="15" hidden="false" customHeight="false" outlineLevel="0" collapsed="false">
      <c r="A102" s="32" t="n">
        <v>98</v>
      </c>
      <c r="B102" s="32" t="s">
        <v>290</v>
      </c>
      <c r="C102" s="33" t="s">
        <v>291</v>
      </c>
      <c r="D102" s="33" t="s">
        <v>298</v>
      </c>
      <c r="E102" s="34" t="n">
        <v>1201357</v>
      </c>
      <c r="F102" s="34" t="n">
        <v>-91112</v>
      </c>
      <c r="G102" s="34" t="n">
        <v>240</v>
      </c>
    </row>
    <row r="103" customFormat="false" ht="15" hidden="false" customHeight="false" outlineLevel="0" collapsed="false">
      <c r="A103" s="32" t="n">
        <v>99</v>
      </c>
      <c r="B103" s="32" t="s">
        <v>290</v>
      </c>
      <c r="C103" s="33" t="s">
        <v>291</v>
      </c>
      <c r="D103" s="33" t="s">
        <v>227</v>
      </c>
      <c r="E103" s="34" t="n">
        <v>1192735</v>
      </c>
      <c r="F103" s="34" t="n">
        <v>-91794</v>
      </c>
      <c r="G103" s="34" t="n">
        <v>906</v>
      </c>
    </row>
    <row r="104" customFormat="false" ht="15" hidden="false" customHeight="false" outlineLevel="0" collapsed="false">
      <c r="A104" s="32" t="n">
        <v>100</v>
      </c>
      <c r="B104" s="32" t="s">
        <v>290</v>
      </c>
      <c r="C104" s="33" t="s">
        <v>291</v>
      </c>
      <c r="D104" s="33"/>
      <c r="E104" s="34" t="n">
        <v>1197572</v>
      </c>
      <c r="F104" s="34" t="n">
        <v>-91960</v>
      </c>
      <c r="G104" s="34"/>
    </row>
    <row r="105" customFormat="false" ht="15" hidden="false" customHeight="false" outlineLevel="0" collapsed="false">
      <c r="A105" s="32" t="n">
        <v>101</v>
      </c>
      <c r="B105" s="32" t="s">
        <v>290</v>
      </c>
      <c r="C105" s="33" t="s">
        <v>291</v>
      </c>
      <c r="D105" s="33"/>
      <c r="E105" s="34" t="n">
        <v>1205143</v>
      </c>
      <c r="F105" s="34" t="n">
        <v>-91999</v>
      </c>
      <c r="G105" s="34"/>
    </row>
    <row r="106" customFormat="false" ht="15" hidden="false" customHeight="false" outlineLevel="0" collapsed="false">
      <c r="A106" s="32" t="n">
        <v>102</v>
      </c>
      <c r="B106" s="32" t="s">
        <v>290</v>
      </c>
      <c r="C106" s="33" t="s">
        <v>291</v>
      </c>
      <c r="D106" s="33" t="s">
        <v>299</v>
      </c>
      <c r="E106" s="34" t="n">
        <v>1244989</v>
      </c>
      <c r="F106" s="34" t="n">
        <v>-92353</v>
      </c>
      <c r="G106" s="34" t="n">
        <v>2179</v>
      </c>
    </row>
    <row r="107" customFormat="false" ht="15" hidden="false" customHeight="false" outlineLevel="0" collapsed="false">
      <c r="A107" s="32" t="n">
        <v>103</v>
      </c>
      <c r="B107" s="32" t="s">
        <v>290</v>
      </c>
      <c r="C107" s="33" t="s">
        <v>291</v>
      </c>
      <c r="D107" s="33" t="s">
        <v>300</v>
      </c>
      <c r="E107" s="34" t="n">
        <v>1206857</v>
      </c>
      <c r="F107" s="34" t="n">
        <v>-93692</v>
      </c>
      <c r="G107" s="34" t="n">
        <v>250</v>
      </c>
    </row>
    <row r="108" customFormat="false" ht="15" hidden="false" customHeight="false" outlineLevel="0" collapsed="false">
      <c r="A108" s="32" t="n">
        <v>104</v>
      </c>
      <c r="B108" s="32" t="s">
        <v>290</v>
      </c>
      <c r="C108" s="33" t="s">
        <v>291</v>
      </c>
      <c r="D108" s="33" t="s">
        <v>214</v>
      </c>
      <c r="E108" s="34" t="n">
        <v>1190157</v>
      </c>
      <c r="F108" s="34" t="n">
        <v>-94276</v>
      </c>
      <c r="G108" s="34" t="n">
        <v>384</v>
      </c>
    </row>
    <row r="109" customFormat="false" ht="15" hidden="false" customHeight="false" outlineLevel="0" collapsed="false">
      <c r="A109" s="32" t="n">
        <v>105</v>
      </c>
      <c r="B109" s="32" t="s">
        <v>290</v>
      </c>
      <c r="C109" s="33" t="s">
        <v>291</v>
      </c>
      <c r="D109" s="33" t="s">
        <v>215</v>
      </c>
      <c r="E109" s="34" t="n">
        <v>1236157</v>
      </c>
      <c r="F109" s="34" t="n">
        <v>-95542</v>
      </c>
      <c r="G109" s="34" t="n">
        <v>798</v>
      </c>
    </row>
    <row r="110" customFormat="false" ht="15" hidden="false" customHeight="false" outlineLevel="0" collapsed="false">
      <c r="A110" s="32" t="n">
        <v>106</v>
      </c>
      <c r="B110" s="32" t="s">
        <v>290</v>
      </c>
      <c r="C110" s="33" t="s">
        <v>291</v>
      </c>
      <c r="D110" s="33" t="s">
        <v>202</v>
      </c>
      <c r="E110" s="34" t="n">
        <v>1228157</v>
      </c>
      <c r="F110" s="34" t="n">
        <v>-95542</v>
      </c>
      <c r="G110" s="34" t="n">
        <v>398</v>
      </c>
    </row>
    <row r="111" customFormat="false" ht="15" hidden="false" customHeight="false" outlineLevel="0" collapsed="false">
      <c r="A111" s="32" t="n">
        <v>107</v>
      </c>
      <c r="B111" s="32" t="s">
        <v>290</v>
      </c>
      <c r="C111" s="33" t="s">
        <v>291</v>
      </c>
      <c r="D111" s="33" t="s">
        <v>216</v>
      </c>
      <c r="E111" s="34" t="n">
        <v>1220157</v>
      </c>
      <c r="F111" s="34" t="n">
        <v>-95542</v>
      </c>
      <c r="G111" s="34" t="n">
        <v>873</v>
      </c>
    </row>
    <row r="112" customFormat="false" ht="15" hidden="false" customHeight="false" outlineLevel="0" collapsed="false">
      <c r="A112" s="32" t="n">
        <v>108</v>
      </c>
      <c r="B112" s="32" t="s">
        <v>290</v>
      </c>
      <c r="C112" s="33" t="s">
        <v>291</v>
      </c>
      <c r="D112" s="33" t="s">
        <v>218</v>
      </c>
      <c r="E112" s="34" t="n">
        <v>1204157</v>
      </c>
      <c r="F112" s="34" t="n">
        <v>-95542</v>
      </c>
      <c r="G112" s="34" t="n">
        <v>750</v>
      </c>
    </row>
    <row r="113" customFormat="false" ht="15" hidden="false" customHeight="false" outlineLevel="0" collapsed="false">
      <c r="A113" s="32" t="n">
        <v>109</v>
      </c>
      <c r="B113" s="32" t="s">
        <v>290</v>
      </c>
      <c r="C113" s="33" t="s">
        <v>291</v>
      </c>
      <c r="D113" s="33" t="s">
        <v>219</v>
      </c>
      <c r="E113" s="34" t="n">
        <v>1196157</v>
      </c>
      <c r="F113" s="34" t="n">
        <v>-95542</v>
      </c>
      <c r="G113" s="34" t="n">
        <v>746</v>
      </c>
    </row>
    <row r="114" customFormat="false" ht="15" hidden="false" customHeight="false" outlineLevel="0" collapsed="false">
      <c r="A114" s="32" t="n">
        <v>110</v>
      </c>
      <c r="B114" s="32" t="s">
        <v>290</v>
      </c>
      <c r="C114" s="33" t="s">
        <v>291</v>
      </c>
      <c r="D114" s="33" t="s">
        <v>195</v>
      </c>
      <c r="E114" s="34" t="n">
        <v>1193457</v>
      </c>
      <c r="F114" s="34" t="n">
        <v>-97517</v>
      </c>
      <c r="G114" s="34" t="n">
        <v>941</v>
      </c>
    </row>
    <row r="115" customFormat="false" ht="15" hidden="false" customHeight="false" outlineLevel="0" collapsed="false">
      <c r="A115" s="32" t="n">
        <v>111</v>
      </c>
      <c r="B115" s="32" t="s">
        <v>290</v>
      </c>
      <c r="C115" s="33" t="s">
        <v>291</v>
      </c>
      <c r="D115" s="33" t="s">
        <v>301</v>
      </c>
      <c r="E115" s="34" t="n">
        <v>1230132</v>
      </c>
      <c r="F115" s="34" t="n">
        <v>-97542</v>
      </c>
      <c r="G115" s="34" t="n">
        <v>1540</v>
      </c>
    </row>
    <row r="116" customFormat="false" ht="15" hidden="false" customHeight="false" outlineLevel="0" collapsed="false">
      <c r="A116" s="32" t="n">
        <v>112</v>
      </c>
      <c r="B116" s="32" t="s">
        <v>290</v>
      </c>
      <c r="C116" s="33" t="s">
        <v>291</v>
      </c>
      <c r="D116" s="33" t="s">
        <v>302</v>
      </c>
      <c r="E116" s="34" t="n">
        <v>1243605</v>
      </c>
      <c r="F116" s="34" t="n">
        <v>-98695</v>
      </c>
      <c r="G116" s="34" t="n">
        <v>933</v>
      </c>
    </row>
    <row r="117" customFormat="false" ht="15" hidden="false" customHeight="false" outlineLevel="0" collapsed="false">
      <c r="A117" s="32" t="n">
        <v>113</v>
      </c>
      <c r="B117" s="32" t="s">
        <v>290</v>
      </c>
      <c r="C117" s="33" t="s">
        <v>291</v>
      </c>
      <c r="D117" s="33" t="s">
        <v>303</v>
      </c>
      <c r="E117" s="34" t="n">
        <v>1184007</v>
      </c>
      <c r="F117" s="34" t="n">
        <v>-99442</v>
      </c>
      <c r="G117" s="34" t="n">
        <v>274</v>
      </c>
    </row>
    <row r="118" customFormat="false" ht="15" hidden="false" customHeight="false" outlineLevel="0" collapsed="false">
      <c r="A118" s="32" t="n">
        <v>114</v>
      </c>
      <c r="B118" s="32" t="s">
        <v>290</v>
      </c>
      <c r="C118" s="33" t="s">
        <v>291</v>
      </c>
      <c r="D118" s="33" t="s">
        <v>198</v>
      </c>
      <c r="E118" s="34" t="n">
        <v>1193157</v>
      </c>
      <c r="F118" s="34" t="n">
        <v>-99803</v>
      </c>
      <c r="G118" s="34" t="n">
        <v>593</v>
      </c>
    </row>
    <row r="119" customFormat="false" ht="15" hidden="false" customHeight="false" outlineLevel="0" collapsed="false">
      <c r="A119" s="32" t="n">
        <v>115</v>
      </c>
      <c r="B119" s="32" t="s">
        <v>290</v>
      </c>
      <c r="C119" s="33" t="s">
        <v>291</v>
      </c>
      <c r="D119" s="33" t="s">
        <v>304</v>
      </c>
      <c r="E119" s="34" t="n">
        <v>1240507</v>
      </c>
      <c r="F119" s="34" t="n">
        <v>-101917</v>
      </c>
      <c r="G119" s="34" t="n">
        <v>2009</v>
      </c>
    </row>
    <row r="120" customFormat="false" ht="15" hidden="false" customHeight="false" outlineLevel="0" collapsed="false">
      <c r="A120" s="32" t="n">
        <v>116</v>
      </c>
      <c r="B120" s="32" t="s">
        <v>290</v>
      </c>
      <c r="C120" s="33" t="s">
        <v>291</v>
      </c>
      <c r="D120" s="33" t="s">
        <v>305</v>
      </c>
      <c r="E120" s="34" t="n">
        <v>1225439</v>
      </c>
      <c r="F120" s="34" t="n">
        <v>-102401</v>
      </c>
      <c r="G120" s="34" t="n">
        <v>278</v>
      </c>
    </row>
    <row r="121" customFormat="false" ht="15" hidden="false" customHeight="false" outlineLevel="0" collapsed="false">
      <c r="A121" s="32" t="n">
        <v>117</v>
      </c>
      <c r="B121" s="32" t="s">
        <v>290</v>
      </c>
      <c r="C121" s="33" t="s">
        <v>291</v>
      </c>
      <c r="D121" s="33" t="s">
        <v>306</v>
      </c>
      <c r="E121" s="34" t="n">
        <v>1214293</v>
      </c>
      <c r="F121" s="34" t="n">
        <v>-102451</v>
      </c>
      <c r="G121" s="34" t="n">
        <v>300</v>
      </c>
    </row>
    <row r="122" customFormat="false" ht="15" hidden="false" customHeight="false" outlineLevel="0" collapsed="false">
      <c r="A122" s="32" t="n">
        <v>118</v>
      </c>
      <c r="B122" s="32" t="s">
        <v>290</v>
      </c>
      <c r="C122" s="33" t="s">
        <v>291</v>
      </c>
      <c r="D122" s="33" t="s">
        <v>307</v>
      </c>
      <c r="E122" s="34" t="n">
        <v>1236979</v>
      </c>
      <c r="F122" s="34" t="n">
        <v>-102481</v>
      </c>
      <c r="G122" s="34" t="n">
        <v>451</v>
      </c>
    </row>
    <row r="123" customFormat="false" ht="15" hidden="false" customHeight="false" outlineLevel="0" collapsed="false">
      <c r="A123" s="32" t="n">
        <v>119</v>
      </c>
      <c r="B123" s="32" t="s">
        <v>290</v>
      </c>
      <c r="C123" s="33" t="s">
        <v>291</v>
      </c>
      <c r="D123" s="33" t="s">
        <v>308</v>
      </c>
      <c r="E123" s="34" t="n">
        <v>1207083</v>
      </c>
      <c r="F123" s="34" t="n">
        <v>-102487</v>
      </c>
      <c r="G123" s="34" t="n">
        <v>456</v>
      </c>
    </row>
    <row r="124" customFormat="false" ht="15" hidden="false" customHeight="false" outlineLevel="0" collapsed="false">
      <c r="A124" s="32" t="n">
        <v>120</v>
      </c>
      <c r="B124" s="32" t="s">
        <v>290</v>
      </c>
      <c r="C124" s="33" t="s">
        <v>291</v>
      </c>
      <c r="D124" s="33" t="s">
        <v>309</v>
      </c>
      <c r="E124" s="34" t="n">
        <v>1196047</v>
      </c>
      <c r="F124" s="34" t="n">
        <v>-102489</v>
      </c>
      <c r="G124" s="34" t="n">
        <v>391</v>
      </c>
    </row>
    <row r="125" customFormat="false" ht="15" hidden="false" customHeight="false" outlineLevel="0" collapsed="false">
      <c r="A125" s="32" t="n">
        <v>121</v>
      </c>
      <c r="B125" s="32" t="s">
        <v>310</v>
      </c>
      <c r="C125" s="33" t="s">
        <v>311</v>
      </c>
      <c r="D125" s="33" t="s">
        <v>312</v>
      </c>
      <c r="E125" s="34" t="n">
        <v>1192932</v>
      </c>
      <c r="F125" s="34" t="n">
        <v>-83792</v>
      </c>
      <c r="G125" s="34" t="n">
        <v>235</v>
      </c>
    </row>
    <row r="126" customFormat="false" ht="15" hidden="false" customHeight="false" outlineLevel="0" collapsed="false">
      <c r="A126" s="32" t="n">
        <v>122</v>
      </c>
      <c r="B126" s="32" t="s">
        <v>310</v>
      </c>
      <c r="C126" s="33" t="s">
        <v>311</v>
      </c>
      <c r="D126" s="33" t="s">
        <v>313</v>
      </c>
      <c r="E126" s="34" t="n">
        <v>1214907</v>
      </c>
      <c r="F126" s="34" t="n">
        <v>-88692</v>
      </c>
      <c r="G126" s="34" t="n">
        <v>1647</v>
      </c>
    </row>
    <row r="127" customFormat="false" ht="15" hidden="false" customHeight="false" outlineLevel="0" collapsed="false">
      <c r="A127" s="32" t="n">
        <v>123</v>
      </c>
      <c r="B127" s="32" t="s">
        <v>310</v>
      </c>
      <c r="C127" s="33" t="s">
        <v>311</v>
      </c>
      <c r="D127" s="33" t="s">
        <v>314</v>
      </c>
      <c r="E127" s="34" t="n">
        <v>1240507</v>
      </c>
      <c r="F127" s="34" t="n">
        <v>-89167</v>
      </c>
      <c r="G127" s="34" t="n">
        <v>721</v>
      </c>
    </row>
    <row r="128" customFormat="false" ht="15" hidden="false" customHeight="false" outlineLevel="0" collapsed="false">
      <c r="A128" s="32" t="n">
        <v>124</v>
      </c>
      <c r="B128" s="32" t="s">
        <v>310</v>
      </c>
      <c r="C128" s="33" t="s">
        <v>311</v>
      </c>
      <c r="D128" s="33" t="s">
        <v>217</v>
      </c>
      <c r="E128" s="34" t="n">
        <v>1212157</v>
      </c>
      <c r="F128" s="34" t="n">
        <v>-95542</v>
      </c>
      <c r="G128" s="34" t="n">
        <v>937</v>
      </c>
    </row>
    <row r="129" customFormat="false" ht="15" hidden="false" customHeight="false" outlineLevel="0" collapsed="false">
      <c r="A129" s="32" t="n">
        <v>125</v>
      </c>
      <c r="B129" s="32" t="s">
        <v>310</v>
      </c>
      <c r="C129" s="33" t="s">
        <v>311</v>
      </c>
      <c r="D129" s="33" t="s">
        <v>315</v>
      </c>
      <c r="E129" s="34" t="n">
        <v>1183804</v>
      </c>
      <c r="F129" s="34" t="n">
        <v>-95588</v>
      </c>
      <c r="G129" s="34" t="n">
        <v>1460</v>
      </c>
    </row>
    <row r="130" customFormat="false" ht="15" hidden="false" customHeight="false" outlineLevel="0" collapsed="false">
      <c r="A130" s="32" t="n">
        <v>126</v>
      </c>
      <c r="B130" s="32" t="s">
        <v>316</v>
      </c>
      <c r="C130" s="33" t="s">
        <v>317</v>
      </c>
      <c r="D130" s="33" t="s">
        <v>318</v>
      </c>
      <c r="E130" s="34" t="n">
        <v>1191057</v>
      </c>
      <c r="F130" s="34" t="n">
        <v>-86454</v>
      </c>
      <c r="G130" s="34" t="n">
        <v>684</v>
      </c>
    </row>
    <row r="131" customFormat="false" ht="15" hidden="false" customHeight="false" outlineLevel="0" collapsed="false">
      <c r="A131" s="32" t="n">
        <v>127</v>
      </c>
      <c r="B131" s="32" t="s">
        <v>316</v>
      </c>
      <c r="C131" s="33" t="s">
        <v>317</v>
      </c>
      <c r="D131" s="33" t="s">
        <v>319</v>
      </c>
      <c r="E131" s="34" t="n">
        <v>1223685</v>
      </c>
      <c r="F131" s="34" t="n">
        <v>-94869</v>
      </c>
      <c r="G131" s="34" t="n">
        <v>1574</v>
      </c>
    </row>
    <row r="132" customFormat="false" ht="15" hidden="false" customHeight="false" outlineLevel="0" collapsed="false">
      <c r="A132" s="32" t="n">
        <v>128</v>
      </c>
      <c r="B132" s="32" t="s">
        <v>316</v>
      </c>
      <c r="C132" s="33" t="s">
        <v>317</v>
      </c>
      <c r="D132" s="33" t="s">
        <v>320</v>
      </c>
      <c r="E132" s="34" t="n">
        <v>1192968</v>
      </c>
      <c r="F132" s="34" t="n">
        <v>-94886</v>
      </c>
      <c r="G132" s="34" t="n">
        <v>582</v>
      </c>
    </row>
    <row r="134" customFormat="false" ht="15" hidden="false" customHeight="false" outlineLevel="0" collapsed="false">
      <c r="B134" s="21" t="s">
        <v>321</v>
      </c>
      <c r="C134" s="21" t="n">
        <f aca="false">COUNTA(B5:B132)</f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2026-09-16T10:01:53Z</dcterms:created>
  <dc:creator>openpyxl</dc:creator>
  <dc:description/>
  <dc:language>en-US</dc:language>
  <cp:lastModifiedBy/>
  <dcterms:modified xsi:type="dcterms:W3CDTF">2026-09-16T10:02:22Z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