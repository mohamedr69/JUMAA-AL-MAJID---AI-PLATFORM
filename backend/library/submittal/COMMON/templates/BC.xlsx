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lmajid.sharepoint.com/sites/SSDFIREALARMPROJECTS/Shared Documents/Fire Alarm 2021 Projects/Samana Developers/EP-29495 IVY Garden 2/MS/FA/R1/"/>
    </mc:Choice>
  </mc:AlternateContent>
  <xr:revisionPtr revIDLastSave="243" documentId="13_ncr:1_{24AEF169-B208-4480-BF75-8AF95D82ACD7}" xr6:coauthVersionLast="47" xr6:coauthVersionMax="47" xr10:uidLastSave="{75A3A099-DF27-4133-B633-93A36B2D8A8E}"/>
  <bookViews>
    <workbookView xWindow="90" yWindow="2730" windowWidth="28710" windowHeight="11595" activeTab="1" xr2:uid="{8C873FE7-E26D-4411-B3CC-220CFACBBC07}"/>
  </bookViews>
  <sheets>
    <sheet name="main" sheetId="3" r:id="rId1"/>
    <sheet name="sub" sheetId="4" r:id="rId2"/>
    <sheet name="sub (2)" sheetId="5" r:id="rId3"/>
    <sheet name="sub (3)" sheetId="6" r:id="rId4"/>
    <sheet name="APS" sheetId="7" r:id="rId5"/>
    <sheet name="BPS" sheetId="9" r:id="rId6"/>
  </sheets>
  <definedNames>
    <definedName name="_xlnm.Print_Area" localSheetId="4">APS!$A$1:$J$24</definedName>
    <definedName name="_xlnm.Print_Area" localSheetId="5">BPS!$A$1:$I$21</definedName>
    <definedName name="_xlnm.Print_Area" localSheetId="0">main!$A$1:$I$29</definedName>
    <definedName name="_xlnm.Print_Area" localSheetId="1">sub!$A$1:$I$25</definedName>
    <definedName name="_xlnm.Print_Area" localSheetId="2">'sub (2)'!$A$1:$I$25</definedName>
    <definedName name="_xlnm.Print_Area" localSheetId="3">'sub (3)'!$A$1:$I$25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9" l="1"/>
  <c r="H15" i="9" s="1"/>
  <c r="G13" i="9"/>
  <c r="G14" i="9" s="1"/>
  <c r="H16" i="9" s="1"/>
  <c r="I16" i="7"/>
  <c r="H16" i="7"/>
  <c r="I15" i="7"/>
  <c r="H15" i="7"/>
  <c r="I14" i="7"/>
  <c r="I18" i="7" s="1"/>
  <c r="I20" i="7" s="1"/>
  <c r="H14" i="7"/>
  <c r="H17" i="7" s="1"/>
  <c r="I19" i="7" s="1"/>
  <c r="H17" i="9" l="1"/>
  <c r="H18" i="9" s="1"/>
  <c r="H19" i="9" s="1"/>
  <c r="I21" i="7"/>
  <c r="I22" i="7" s="1"/>
  <c r="H16" i="6"/>
  <c r="G16" i="6"/>
  <c r="H15" i="6"/>
  <c r="G15" i="6"/>
  <c r="H14" i="6"/>
  <c r="G14" i="6"/>
  <c r="H13" i="6"/>
  <c r="G13" i="6"/>
  <c r="H12" i="6"/>
  <c r="G12" i="6"/>
  <c r="H20" i="5"/>
  <c r="H19" i="5"/>
  <c r="H21" i="5" s="1"/>
  <c r="H22" i="5" s="1"/>
  <c r="H18" i="5"/>
  <c r="G17" i="5"/>
  <c r="H16" i="5"/>
  <c r="G16" i="5"/>
  <c r="H15" i="5"/>
  <c r="G15" i="5"/>
  <c r="H14" i="5"/>
  <c r="G14" i="5"/>
  <c r="H13" i="5"/>
  <c r="G13" i="5"/>
  <c r="H12" i="5"/>
  <c r="G12" i="5"/>
  <c r="H23" i="3"/>
  <c r="G22" i="3"/>
  <c r="H16" i="4"/>
  <c r="G16" i="4"/>
  <c r="H15" i="4"/>
  <c r="G15" i="4"/>
  <c r="H14" i="4"/>
  <c r="G14" i="4"/>
  <c r="H13" i="4"/>
  <c r="G13" i="4"/>
  <c r="H12" i="4"/>
  <c r="G12" i="4"/>
  <c r="H13" i="3"/>
  <c r="H14" i="3"/>
  <c r="H15" i="3"/>
  <c r="H16" i="3"/>
  <c r="H17" i="3"/>
  <c r="H18" i="3"/>
  <c r="H19" i="3"/>
  <c r="H20" i="3"/>
  <c r="H21" i="3"/>
  <c r="H12" i="3"/>
  <c r="G13" i="3"/>
  <c r="G14" i="3"/>
  <c r="G15" i="3"/>
  <c r="G16" i="3"/>
  <c r="G17" i="3"/>
  <c r="G18" i="3"/>
  <c r="G19" i="3"/>
  <c r="G20" i="3"/>
  <c r="G21" i="3"/>
  <c r="G12" i="3"/>
  <c r="G17" i="6" l="1"/>
  <c r="H19" i="6" s="1"/>
  <c r="H18" i="6"/>
  <c r="H20" i="6" s="1"/>
  <c r="H25" i="3"/>
  <c r="H24" i="3"/>
  <c r="G17" i="4"/>
  <c r="H19" i="4" s="1"/>
  <c r="H18" i="4"/>
  <c r="H20" i="4" s="1"/>
  <c r="H21" i="6" l="1"/>
  <c r="H22" i="6" s="1"/>
  <c r="H26" i="3"/>
  <c r="H27" i="3" s="1"/>
  <c r="H21" i="4"/>
  <c r="H22" i="4" s="1"/>
</calcChain>
</file>

<file path=xl/sharedStrings.xml><?xml version="1.0" encoding="utf-8"?>
<sst xmlns="http://schemas.openxmlformats.org/spreadsheetml/2006/main" count="262" uniqueCount="70">
  <si>
    <t>EST4</t>
  </si>
  <si>
    <t>QTY.</t>
  </si>
  <si>
    <t>4-CPU</t>
  </si>
  <si>
    <t>Central Processor Unit Module</t>
  </si>
  <si>
    <t>3-SDDC2</t>
  </si>
  <si>
    <t>Dual Loop SIGA Data Controller</t>
  </si>
  <si>
    <t xml:space="preserve">4-LCDLE </t>
  </si>
  <si>
    <t>Liquid Crystal Module</t>
  </si>
  <si>
    <t>4-NET-TP</t>
  </si>
  <si>
    <t xml:space="preserve">SFP Network controller </t>
  </si>
  <si>
    <t>4-FWAL4</t>
  </si>
  <si>
    <t>3-ZA20A</t>
  </si>
  <si>
    <t>4-AUDTELS</t>
  </si>
  <si>
    <t>4-MIC</t>
  </si>
  <si>
    <t>4-FT</t>
  </si>
  <si>
    <t>Network Firewalls</t>
  </si>
  <si>
    <t>Zoned Audio Amplifiers</t>
  </si>
  <si>
    <t>Audio-Telephone Interface Module</t>
  </si>
  <si>
    <t>Paging Microphone</t>
  </si>
  <si>
    <t>Firefighter Master Handset</t>
  </si>
  <si>
    <t>4-PPS</t>
  </si>
  <si>
    <t>Primary Power Supply</t>
  </si>
  <si>
    <t>CLIENT</t>
  </si>
  <si>
    <t>CONSULTANT</t>
  </si>
  <si>
    <t>MEP CONTRACTOR</t>
  </si>
  <si>
    <t>FIRE ALARM SYSTEM SUPPLIER</t>
  </si>
  <si>
    <t>M/s. AL ARABIA FOR SAFETY &amp; SECURITY LLC</t>
  </si>
  <si>
    <t>FIRE ALARM SYSTEM MANUFACTURER</t>
  </si>
  <si>
    <t>M/s. EDWARDS System Technology</t>
  </si>
  <si>
    <t>SUBMITTAL TITLE:</t>
  </si>
  <si>
    <t xml:space="preserve">FIRE ALARM, VOICE EVACUATION &amp; FIRE TELEPHONE SYSTEM </t>
  </si>
  <si>
    <t xml:space="preserve">DATE: </t>
  </si>
  <si>
    <t>EDWARDS</t>
  </si>
  <si>
    <t>STANDBY CURRENT (mA)</t>
  </si>
  <si>
    <t>ALARM CURRENT (mA)</t>
  </si>
  <si>
    <t xml:space="preserve">PART NO. </t>
  </si>
  <si>
    <t xml:space="preserve">DESCRIPTION </t>
  </si>
  <si>
    <t>TOTAL STANDBY CURRENT (mA)</t>
  </si>
  <si>
    <t>TOTAL STANDBY (mA)</t>
  </si>
  <si>
    <t>TOTAL ALARM CURRENT (mA)</t>
  </si>
  <si>
    <t>TOTAL STANDBY CURRENT (mA) * 24h</t>
  </si>
  <si>
    <t>TOTAL ALARM CURRENT (mA) * 30m</t>
  </si>
  <si>
    <t xml:space="preserve">TOTAL + 20% SPARE </t>
  </si>
  <si>
    <t>SUM TOTAL STANDBY + TOTAL ALARM (A)</t>
  </si>
  <si>
    <t xml:space="preserve">SELECTED BATTERY SIZE </t>
  </si>
  <si>
    <r>
      <rPr>
        <b/>
        <sz val="18"/>
        <color theme="1"/>
        <rFont val="Arial"/>
        <family val="2"/>
      </rPr>
      <t xml:space="preserve">MAIN FACP BATTERY CALCULATION </t>
    </r>
    <r>
      <rPr>
        <b/>
        <sz val="16"/>
        <color theme="1"/>
        <rFont val="Arial"/>
        <family val="2"/>
      </rPr>
      <t xml:space="preserve">
</t>
    </r>
    <r>
      <rPr>
        <b/>
        <sz val="12"/>
        <color theme="1"/>
        <rFont val="Arial"/>
        <family val="2"/>
      </rPr>
      <t xml:space="preserve">GROUND FLOOR - FCC ROOM </t>
    </r>
  </si>
  <si>
    <r>
      <rPr>
        <b/>
        <sz val="20"/>
        <color theme="1"/>
        <rFont val="Arial"/>
        <family val="2"/>
      </rPr>
      <t>PROJECT : Samana IVY Garden-2 (1B+G+4P+35+Roof) Residential Building</t>
    </r>
    <r>
      <rPr>
        <b/>
        <sz val="18"/>
        <color theme="1"/>
        <rFont val="Arial"/>
        <family val="2"/>
      </rPr>
      <t xml:space="preserve">
</t>
    </r>
    <r>
      <rPr>
        <b/>
        <sz val="12"/>
        <color theme="1"/>
        <rFont val="Arial"/>
        <family val="2"/>
      </rPr>
      <t>@ PLOT NO: 648-8523, Wadi Al Safa 5, DLRC, Dubai, UAE</t>
    </r>
  </si>
  <si>
    <t>M/s. Samana IFM Holding Ltd</t>
  </si>
  <si>
    <t>M/s. Al Hilal Engineering Consultant</t>
  </si>
  <si>
    <t>M/s. ITALTECH CONTRACTING L.L.C</t>
  </si>
  <si>
    <t>CONTRACTOR</t>
  </si>
  <si>
    <t>10.08.2026</t>
  </si>
  <si>
    <t>Notes:
1- The calculation has been carried out based on the full-load condition. The current consumption of 3-SDDC2 Dual Loop Cards has been considered based on a maximum of 500 connected devices, including all detectors and modules.
2- A separate cabinet is provided for the NAC circuits, utilizing SIGA-BPS10A/230. Refer to the NAC Circuit Calculation and SIGA-BPS10A/230 Battery Calculation for details.
3- A separate cabinet is provided for the VES circuits, utilizing SIGA-APS6A/230. Refer to the VES Circuit Calculation and SIGA-APS6A/230 Battery Calculation for details.
4- 24 hours of standby operation and 30 minutes of alarm operation have been considered in the battery calculations, in accordance with DCD requirements and NFPA 72 standards.</t>
  </si>
  <si>
    <t>2 NOS 65AH</t>
  </si>
  <si>
    <r>
      <rPr>
        <b/>
        <sz val="18"/>
        <color theme="1"/>
        <rFont val="Arial"/>
        <family val="2"/>
      </rPr>
      <t xml:space="preserve">SUB FACP BATTERY CALCULATION </t>
    </r>
    <r>
      <rPr>
        <b/>
        <sz val="16"/>
        <color theme="1"/>
        <rFont val="Arial"/>
        <family val="2"/>
      </rPr>
      <t xml:space="preserve">
</t>
    </r>
    <r>
      <rPr>
        <b/>
        <sz val="12"/>
        <color theme="1"/>
        <rFont val="Arial"/>
        <family val="2"/>
      </rPr>
      <t xml:space="preserve">9th floor - Telephone room </t>
    </r>
  </si>
  <si>
    <t>2 NOS 42AH</t>
  </si>
  <si>
    <r>
      <rPr>
        <b/>
        <sz val="18"/>
        <color theme="1"/>
        <rFont val="Arial"/>
        <family val="2"/>
      </rPr>
      <t xml:space="preserve">SUB FACP BATTERY CALCULATION </t>
    </r>
    <r>
      <rPr>
        <b/>
        <sz val="16"/>
        <color theme="1"/>
        <rFont val="Arial"/>
        <family val="2"/>
      </rPr>
      <t xml:space="preserve">
</t>
    </r>
    <r>
      <rPr>
        <b/>
        <sz val="12"/>
        <color theme="1"/>
        <rFont val="Arial"/>
        <family val="2"/>
      </rPr>
      <t xml:space="preserve">20th floor - Telephone room </t>
    </r>
  </si>
  <si>
    <r>
      <rPr>
        <b/>
        <sz val="18"/>
        <color theme="1"/>
        <rFont val="Arial"/>
        <family val="2"/>
      </rPr>
      <t xml:space="preserve">SUB FACP BATTERY CALCULATION </t>
    </r>
    <r>
      <rPr>
        <b/>
        <sz val="16"/>
        <color theme="1"/>
        <rFont val="Arial"/>
        <family val="2"/>
      </rPr>
      <t xml:space="preserve">
</t>
    </r>
    <r>
      <rPr>
        <b/>
        <sz val="12"/>
        <color theme="1"/>
        <rFont val="Arial"/>
        <family val="2"/>
      </rPr>
      <t xml:space="preserve">30th floor - Telephone room </t>
    </r>
  </si>
  <si>
    <t>APS BATTERY CALCULATION</t>
  </si>
  <si>
    <t>Intelligent Audio Amplifiers</t>
  </si>
  <si>
    <t>3-AA50</t>
  </si>
  <si>
    <t>Auxiliary output</t>
  </si>
  <si>
    <t>Dual Monitor Module</t>
  </si>
  <si>
    <t>SIGA-CT2</t>
  </si>
  <si>
    <t>2 NOS 7AH</t>
  </si>
  <si>
    <t>Notes:
The calculation has been carried out based on the full-load condition. The current consumption of 3-AA50 Intelligent Audio Amplifiers has been considered based on a maximum load of 50 W per amplifier.
The battery calculation has been carried out considering 24 hours of standby operation and 30 minutes of alarm operation, in accordance with DCD requirements and NFPA 72 standards.</t>
  </si>
  <si>
    <t>BPS BATTERY CALCULATION</t>
  </si>
  <si>
    <t>10 amp Booster</t>
  </si>
  <si>
    <t>BPS10A</t>
  </si>
  <si>
    <t>Notes:
The calculation has been carried out based on the full-load condition. The current consumption of BPS10A, 10 amp Booster power supply has been considered based on a maximum load of 10 A. 
The battery calculation has been carried out considering 24 hours of standby operation and 30 minutes of alarm operation, in accordance with DCD requirements and NFPA 72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</si>
</sst>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8"/>
      <color theme="1"/>
      <name val="Aptos Narrow"/>
      <family val="2"/>
      <scheme val="minor"/>
    </font>
    <font>
      <b/>
      <sz val="20"/>
      <color theme="1"/>
      <name val="Arial"/>
      <family val="2"/>
    </font>
    <font>
      <b/>
      <sz val="16"/>
      <color theme="1"/>
      <name val="Arial"/>
      <family val="2"/>
    </font>
    <font>
      <b/>
      <sz val="14"/>
      <color theme="1"/>
      <name val="Arial"/>
      <family val="2"/>
    </font>
    <font>
      <b/>
      <sz val="18"/>
      <color theme="1"/>
      <name val="Arial"/>
      <family val="2"/>
    </font>
    <font>
      <b/>
      <sz val="12"/>
      <color theme="1"/>
      <name val="Arial"/>
      <family val="2"/>
    </font>
    <font>
      <b/>
      <sz val="12"/>
      <color rgb="FF0150C5"/>
      <name val="Arial"/>
      <family val="2"/>
    </font>
    <font>
      <b/>
      <sz val="12"/>
      <color rgb="FF0150C5"/>
      <name val="Aptos Narrow"/>
      <family val="2"/>
      <scheme val="minor"/>
    </font>
    <font>
      <b/>
      <sz val="12"/>
      <color theme="1"/>
      <name val="Aptos Narrow"/>
      <family val="2"/>
      <scheme val="minor"/>
    </font>
    <font>
      <b/>
      <sz val="24"/>
      <color rgb="FF0150C5"/>
      <name val="Aptos Narrow"/>
      <family val="2"/>
      <scheme val="minor"/>
    </font>
    <font>
      <b/>
      <sz val="11"/>
      <color rgb="FFFF0000"/>
      <name val="Aptos Narrow"/>
      <family val="2"/>
      <scheme val="minor"/>
    </font>
    <font>
      <b/>
      <sz val="10"/>
      <color rgb="FFFF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s>
  <cellStyleXfs count="1">
    <xf numFmtId="0" fontId="0" fillId="0" borderId="0"/>
  </cellStyleXfs>
  <cellXfs count="50">
    <xf numFmtId="0" fontId="0" fillId="0" borderId="0" xfId="0"/>
    <xf numFmtId="0" fontId="0" fillId="0" borderId="4"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0" fillId="0" borderId="4" xfId="0" applyBorder="1" applyAlignment="1">
      <alignment horizontal="center" wrapText="1"/>
    </xf>
    <xf numFmtId="0" fontId="7" fillId="0" borderId="4" xfId="0" applyFont="1" applyBorder="1" applyAlignment="1">
      <alignment horizontal="center" vertical="center" wrapText="1"/>
    </xf>
    <xf numFmtId="0" fontId="9" fillId="0" borderId="4" xfId="0" applyFont="1" applyBorder="1" applyAlignment="1">
      <alignment horizontal="center" vertical="center"/>
    </xf>
    <xf numFmtId="0" fontId="0" fillId="0" borderId="0" xfId="0" applyAlignment="1">
      <alignment vertical="center"/>
    </xf>
    <xf numFmtId="0" fontId="1" fillId="0" borderId="7"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3" xfId="0" applyFont="1" applyBorder="1" applyAlignment="1">
      <alignment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0" fillId="0" borderId="5" xfId="0" applyBorder="1"/>
    <xf numFmtId="0" fontId="7" fillId="0" borderId="0" xfId="0" applyFont="1" applyAlignment="1">
      <alignment vertical="center"/>
    </xf>
    <xf numFmtId="0" fontId="9" fillId="0" borderId="5" xfId="0" applyFont="1" applyBorder="1" applyAlignment="1">
      <alignment horizontal="center" vertical="center"/>
    </xf>
    <xf numFmtId="0" fontId="9" fillId="0" borderId="19" xfId="0" applyFont="1" applyBorder="1" applyAlignment="1">
      <alignment horizontal="center" vertical="center"/>
    </xf>
    <xf numFmtId="3" fontId="0" fillId="0" borderId="4" xfId="0" applyNumberFormat="1" applyBorder="1" applyAlignment="1">
      <alignment horizont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10" fillId="0" borderId="15" xfId="0" applyFont="1" applyBorder="1" applyAlignment="1">
      <alignment horizontal="center" vertical="center"/>
    </xf>
    <xf numFmtId="0" fontId="10" fillId="0" borderId="6" xfId="0" applyFont="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xf>
    <xf numFmtId="0" fontId="12" fillId="0" borderId="3"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2" fillId="0" borderId="20" xfId="0" applyFont="1" applyBorder="1" applyAlignment="1">
      <alignment horizontal="left" vertical="center"/>
    </xf>
    <xf numFmtId="0" fontId="7" fillId="0" borderId="4" xfId="0" applyFont="1" applyBorder="1" applyAlignment="1">
      <alignment horizontal="center" vertical="center"/>
    </xf>
    <xf numFmtId="0" fontId="7" fillId="0" borderId="14" xfId="0" applyFont="1" applyBorder="1" applyAlignment="1">
      <alignment horizontal="center" vertical="center"/>
    </xf>
    <xf numFmtId="0" fontId="8" fillId="0" borderId="4" xfId="0" applyFont="1" applyBorder="1" applyAlignment="1">
      <alignment horizontal="center" vertical="center"/>
    </xf>
    <xf numFmtId="0" fontId="8" fillId="0" borderId="9"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10" fillId="0" borderId="8" xfId="0" applyFont="1" applyBorder="1" applyAlignment="1">
      <alignment horizontal="center" vertical="center"/>
    </xf>
    <xf numFmtId="0" fontId="11" fillId="0" borderId="3" xfId="0" applyFont="1" applyBorder="1" applyAlignment="1">
      <alignment horizontal="left" vertical="center" wrapText="1"/>
    </xf>
    <xf numFmtId="0" fontId="11" fillId="0" borderId="4" xfId="0" applyFont="1" applyBorder="1" applyAlignment="1">
      <alignment horizontal="left" vertical="center"/>
    </xf>
    <xf numFmtId="0" fontId="11" fillId="0" borderId="3" xfId="0" applyFont="1" applyBorder="1" applyAlignment="1">
      <alignment horizontal="left" vertical="center"/>
    </xf>
    <xf numFmtId="0" fontId="11" fillId="0" borderId="11" xfId="0" applyFont="1" applyBorder="1" applyAlignment="1">
      <alignment horizontal="left" vertical="center"/>
    </xf>
    <xf numFmtId="0" fontId="11" fillId="0" borderId="12" xfId="0" applyFont="1" applyBorder="1" applyAlignment="1">
      <alignment horizontal="left" vertical="center"/>
    </xf>
    <xf numFmtId="0" fontId="7" fillId="0" borderId="9" xfId="0" applyFont="1" applyBorder="1" applyAlignment="1">
      <alignment horizontal="center" vertical="center"/>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7E2E-F96B-4599-8CE5-09A3C3E053F3}">
  <sheetPr>
    <pageSetUpPr fitToPage="1"/>
  </sheetPr>
  <dimension ref="B1:H28"/>
  <sheetViews>
    <sheetView view="pageBreakPreview" topLeftCell="A3" zoomScale="70" zoomScaleNormal="100" zoomScaleSheetLayoutView="70" workbookViewId="0">
      <selection activeCell="C21" sqref="C21"/>
    </sheetView>
  </sheetViews>
  <sheetFormatPr defaultRowHeight="15" x14ac:dyDescent="0.25"/>
  <cols>
    <col min="2" max="2" width="32.5703125" customWidth="1"/>
    <col min="3" max="4" width="30.7109375" customWidth="1"/>
    <col min="5" max="5" width="47.42578125" customWidth="1"/>
    <col min="6" max="6" width="9.28515625" customWidth="1"/>
    <col min="7" max="7" width="38.42578125" customWidth="1"/>
    <col min="8" max="8" width="39.5703125" customWidth="1"/>
  </cols>
  <sheetData>
    <row r="1" spans="2:8" ht="15.75" thickBot="1" x14ac:dyDescent="0.3"/>
    <row r="2" spans="2:8" ht="67.5" customHeight="1" x14ac:dyDescent="0.25">
      <c r="B2" s="9" t="s">
        <v>32</v>
      </c>
      <c r="C2" s="21" t="s">
        <v>46</v>
      </c>
      <c r="D2" s="22"/>
      <c r="E2" s="22"/>
      <c r="F2" s="22"/>
      <c r="G2" s="23"/>
      <c r="H2" s="10" t="s">
        <v>0</v>
      </c>
    </row>
    <row r="3" spans="2:8" ht="44.25" customHeight="1" x14ac:dyDescent="0.25">
      <c r="B3" s="11" t="s">
        <v>22</v>
      </c>
      <c r="C3" s="19" t="s">
        <v>47</v>
      </c>
      <c r="D3" s="19"/>
      <c r="E3" s="19"/>
      <c r="F3" s="19"/>
      <c r="G3" s="19"/>
      <c r="H3" s="20"/>
    </row>
    <row r="4" spans="2:8" ht="44.25" customHeight="1" x14ac:dyDescent="0.25">
      <c r="B4" s="11" t="s">
        <v>23</v>
      </c>
      <c r="C4" s="19" t="s">
        <v>48</v>
      </c>
      <c r="D4" s="19"/>
      <c r="E4" s="19"/>
      <c r="F4" s="19"/>
      <c r="G4" s="19"/>
      <c r="H4" s="20"/>
    </row>
    <row r="5" spans="2:8" ht="44.25" customHeight="1" x14ac:dyDescent="0.25">
      <c r="B5" s="11" t="s">
        <v>50</v>
      </c>
      <c r="C5" s="19" t="s">
        <v>49</v>
      </c>
      <c r="D5" s="19"/>
      <c r="E5" s="19"/>
      <c r="F5" s="19"/>
      <c r="G5" s="19"/>
      <c r="H5" s="20"/>
    </row>
    <row r="6" spans="2:8" ht="44.25" customHeight="1" x14ac:dyDescent="0.25">
      <c r="B6" s="11" t="s">
        <v>25</v>
      </c>
      <c r="C6" s="19" t="s">
        <v>26</v>
      </c>
      <c r="D6" s="19"/>
      <c r="E6" s="19"/>
      <c r="F6" s="19"/>
      <c r="G6" s="19"/>
      <c r="H6" s="20"/>
    </row>
    <row r="7" spans="2:8" ht="44.25" customHeight="1" x14ac:dyDescent="0.25">
      <c r="B7" s="11" t="s">
        <v>27</v>
      </c>
      <c r="C7" s="19" t="s">
        <v>28</v>
      </c>
      <c r="D7" s="19"/>
      <c r="E7" s="19"/>
      <c r="F7" s="19"/>
      <c r="G7" s="19"/>
      <c r="H7" s="20"/>
    </row>
    <row r="8" spans="2:8" ht="44.25" customHeight="1" x14ac:dyDescent="0.25">
      <c r="B8" s="11" t="s">
        <v>29</v>
      </c>
      <c r="C8" s="19" t="s">
        <v>30</v>
      </c>
      <c r="D8" s="19"/>
      <c r="E8" s="19"/>
      <c r="F8" s="19"/>
      <c r="G8" s="19"/>
      <c r="H8" s="20"/>
    </row>
    <row r="9" spans="2:8" ht="44.25" customHeight="1" x14ac:dyDescent="0.25">
      <c r="B9" s="11" t="s">
        <v>31</v>
      </c>
      <c r="C9" s="19" t="s">
        <v>51</v>
      </c>
      <c r="D9" s="19"/>
      <c r="E9" s="19"/>
      <c r="F9" s="19"/>
      <c r="G9" s="19"/>
      <c r="H9" s="20"/>
    </row>
    <row r="10" spans="2:8" ht="66" customHeight="1" x14ac:dyDescent="0.25">
      <c r="B10" s="26" t="s">
        <v>45</v>
      </c>
      <c r="C10" s="27"/>
      <c r="D10" s="27"/>
      <c r="E10" s="27"/>
      <c r="F10" s="27"/>
      <c r="G10" s="27"/>
      <c r="H10" s="28"/>
    </row>
    <row r="11" spans="2:8" ht="37.5" customHeight="1" x14ac:dyDescent="0.25">
      <c r="B11" s="12" t="s">
        <v>33</v>
      </c>
      <c r="C11" s="5" t="s">
        <v>34</v>
      </c>
      <c r="D11" s="5" t="s">
        <v>35</v>
      </c>
      <c r="E11" s="5" t="s">
        <v>36</v>
      </c>
      <c r="F11" s="5" t="s">
        <v>1</v>
      </c>
      <c r="G11" s="5" t="s">
        <v>38</v>
      </c>
      <c r="H11" s="13" t="s">
        <v>38</v>
      </c>
    </row>
    <row r="12" spans="2:8" x14ac:dyDescent="0.25">
      <c r="B12" s="3">
        <v>211</v>
      </c>
      <c r="C12" s="1">
        <v>211</v>
      </c>
      <c r="D12" s="1" t="s">
        <v>2</v>
      </c>
      <c r="E12" s="1" t="s">
        <v>3</v>
      </c>
      <c r="F12" s="1">
        <v>1</v>
      </c>
      <c r="G12" s="1">
        <f>F12*B12</f>
        <v>211</v>
      </c>
      <c r="H12" s="2">
        <f>C12*F12</f>
        <v>211</v>
      </c>
    </row>
    <row r="13" spans="2:8" x14ac:dyDescent="0.25">
      <c r="B13" s="3">
        <v>45</v>
      </c>
      <c r="C13" s="1">
        <v>45</v>
      </c>
      <c r="D13" s="1" t="s">
        <v>20</v>
      </c>
      <c r="E13" s="1" t="s">
        <v>21</v>
      </c>
      <c r="F13" s="1">
        <v>1</v>
      </c>
      <c r="G13" s="1">
        <f t="shared" ref="G13:G21" si="0">F13*B13</f>
        <v>45</v>
      </c>
      <c r="H13" s="2">
        <f t="shared" ref="H13:H21" si="1">C13*F13</f>
        <v>45</v>
      </c>
    </row>
    <row r="14" spans="2:8" x14ac:dyDescent="0.25">
      <c r="B14" s="3">
        <v>264</v>
      </c>
      <c r="C14" s="1">
        <v>336</v>
      </c>
      <c r="D14" s="1" t="s">
        <v>4</v>
      </c>
      <c r="E14" s="1" t="s">
        <v>5</v>
      </c>
      <c r="F14" s="1">
        <v>5</v>
      </c>
      <c r="G14" s="1">
        <f t="shared" si="0"/>
        <v>1320</v>
      </c>
      <c r="H14" s="2">
        <f t="shared" si="1"/>
        <v>1680</v>
      </c>
    </row>
    <row r="15" spans="2:8" x14ac:dyDescent="0.25">
      <c r="B15" s="3">
        <v>40</v>
      </c>
      <c r="C15" s="1">
        <v>93</v>
      </c>
      <c r="D15" s="1" t="s">
        <v>6</v>
      </c>
      <c r="E15" s="1" t="s">
        <v>7</v>
      </c>
      <c r="F15" s="1">
        <v>1</v>
      </c>
      <c r="G15" s="1">
        <f t="shared" si="0"/>
        <v>40</v>
      </c>
      <c r="H15" s="2">
        <f t="shared" si="1"/>
        <v>93</v>
      </c>
    </row>
    <row r="16" spans="2:8" x14ac:dyDescent="0.25">
      <c r="B16" s="3">
        <v>5</v>
      </c>
      <c r="C16" s="1">
        <v>5</v>
      </c>
      <c r="D16" s="1" t="s">
        <v>8</v>
      </c>
      <c r="E16" s="1" t="s">
        <v>9</v>
      </c>
      <c r="F16" s="1">
        <v>2</v>
      </c>
      <c r="G16" s="1">
        <f t="shared" si="0"/>
        <v>10</v>
      </c>
      <c r="H16" s="2">
        <f t="shared" si="1"/>
        <v>10</v>
      </c>
    </row>
    <row r="17" spans="2:8" x14ac:dyDescent="0.25">
      <c r="B17" s="3">
        <v>130</v>
      </c>
      <c r="C17" s="1">
        <v>130</v>
      </c>
      <c r="D17" s="1" t="s">
        <v>10</v>
      </c>
      <c r="E17" s="4" t="s">
        <v>15</v>
      </c>
      <c r="F17" s="1">
        <v>1</v>
      </c>
      <c r="G17" s="1">
        <f t="shared" si="0"/>
        <v>130</v>
      </c>
      <c r="H17" s="2">
        <f t="shared" si="1"/>
        <v>130</v>
      </c>
    </row>
    <row r="18" spans="2:8" x14ac:dyDescent="0.25">
      <c r="B18" s="3">
        <v>62</v>
      </c>
      <c r="C18" s="1">
        <v>1120</v>
      </c>
      <c r="D18" s="1" t="s">
        <v>11</v>
      </c>
      <c r="E18" s="1" t="s">
        <v>16</v>
      </c>
      <c r="F18" s="1">
        <v>2</v>
      </c>
      <c r="G18" s="1">
        <f t="shared" si="0"/>
        <v>124</v>
      </c>
      <c r="H18" s="2">
        <f t="shared" si="1"/>
        <v>2240</v>
      </c>
    </row>
    <row r="19" spans="2:8" x14ac:dyDescent="0.25">
      <c r="B19" s="3">
        <v>101</v>
      </c>
      <c r="C19" s="1">
        <v>85</v>
      </c>
      <c r="D19" s="1" t="s">
        <v>12</v>
      </c>
      <c r="E19" s="1" t="s">
        <v>17</v>
      </c>
      <c r="F19" s="1">
        <v>1</v>
      </c>
      <c r="G19" s="1">
        <f t="shared" si="0"/>
        <v>101</v>
      </c>
      <c r="H19" s="2">
        <f t="shared" si="1"/>
        <v>85</v>
      </c>
    </row>
    <row r="20" spans="2:8" x14ac:dyDescent="0.25">
      <c r="B20" s="3">
        <v>8</v>
      </c>
      <c r="C20" s="1">
        <v>38</v>
      </c>
      <c r="D20" s="1" t="s">
        <v>13</v>
      </c>
      <c r="E20" s="1" t="s">
        <v>18</v>
      </c>
      <c r="F20" s="1">
        <v>1</v>
      </c>
      <c r="G20" s="1">
        <f t="shared" si="0"/>
        <v>8</v>
      </c>
      <c r="H20" s="2">
        <f t="shared" si="1"/>
        <v>38</v>
      </c>
    </row>
    <row r="21" spans="2:8" x14ac:dyDescent="0.25">
      <c r="B21" s="3">
        <v>9</v>
      </c>
      <c r="C21" s="1">
        <v>168</v>
      </c>
      <c r="D21" s="1" t="s">
        <v>14</v>
      </c>
      <c r="E21" s="1" t="s">
        <v>19</v>
      </c>
      <c r="F21" s="1">
        <v>1</v>
      </c>
      <c r="G21" s="1">
        <f t="shared" si="0"/>
        <v>9</v>
      </c>
      <c r="H21" s="2">
        <f t="shared" si="1"/>
        <v>168</v>
      </c>
    </row>
    <row r="22" spans="2:8" ht="26.25" customHeight="1" x14ac:dyDescent="0.25">
      <c r="B22" s="43" t="s">
        <v>52</v>
      </c>
      <c r="C22" s="44"/>
      <c r="D22" s="44"/>
      <c r="E22" s="48" t="s">
        <v>37</v>
      </c>
      <c r="F22" s="36"/>
      <c r="G22" s="6">
        <f>SUM(G12:G21)</f>
        <v>1998</v>
      </c>
      <c r="H22" s="14"/>
    </row>
    <row r="23" spans="2:8" ht="26.25" customHeight="1" x14ac:dyDescent="0.25">
      <c r="B23" s="45"/>
      <c r="C23" s="44"/>
      <c r="D23" s="44"/>
      <c r="E23" s="15"/>
      <c r="F23" s="37" t="s">
        <v>39</v>
      </c>
      <c r="G23" s="37"/>
      <c r="H23" s="16">
        <f>SUM(H12:H21)</f>
        <v>4700</v>
      </c>
    </row>
    <row r="24" spans="2:8" s="7" customFormat="1" ht="30.75" customHeight="1" x14ac:dyDescent="0.25">
      <c r="B24" s="45"/>
      <c r="C24" s="44"/>
      <c r="D24" s="44"/>
      <c r="E24" s="39" t="s">
        <v>40</v>
      </c>
      <c r="F24" s="38"/>
      <c r="G24" s="38"/>
      <c r="H24" s="16">
        <f>G22*24</f>
        <v>47952</v>
      </c>
    </row>
    <row r="25" spans="2:8" ht="30.75" customHeight="1" x14ac:dyDescent="0.25">
      <c r="B25" s="45"/>
      <c r="C25" s="44"/>
      <c r="D25" s="44"/>
      <c r="E25" s="39" t="s">
        <v>41</v>
      </c>
      <c r="F25" s="38"/>
      <c r="G25" s="38"/>
      <c r="H25" s="16">
        <f>H23*30/60</f>
        <v>2350</v>
      </c>
    </row>
    <row r="26" spans="2:8" ht="30.75" customHeight="1" x14ac:dyDescent="0.25">
      <c r="B26" s="45"/>
      <c r="C26" s="44"/>
      <c r="D26" s="44"/>
      <c r="E26" s="39" t="s">
        <v>43</v>
      </c>
      <c r="F26" s="38"/>
      <c r="G26" s="38"/>
      <c r="H26" s="16">
        <f>(H24+H25)/1000</f>
        <v>50.302</v>
      </c>
    </row>
    <row r="27" spans="2:8" ht="30.75" customHeight="1" thickBot="1" x14ac:dyDescent="0.3">
      <c r="B27" s="45"/>
      <c r="C27" s="44"/>
      <c r="D27" s="44"/>
      <c r="E27" s="40" t="s">
        <v>42</v>
      </c>
      <c r="F27" s="41"/>
      <c r="G27" s="41"/>
      <c r="H27" s="17">
        <f>H26*1.2</f>
        <v>60.362399999999994</v>
      </c>
    </row>
    <row r="28" spans="2:8" ht="51.75" customHeight="1" thickBot="1" x14ac:dyDescent="0.3">
      <c r="B28" s="46"/>
      <c r="C28" s="47"/>
      <c r="D28" s="47"/>
      <c r="E28" s="42" t="s">
        <v>44</v>
      </c>
      <c r="F28" s="25"/>
      <c r="G28" s="25"/>
      <c r="H28" s="8" t="s">
        <v>53</v>
      </c>
    </row>
  </sheetData>
  <mergeCells count="17">
    <mergeCell ref="C2:G2"/>
    <mergeCell ref="B22:D28"/>
    <mergeCell ref="E22:F22"/>
    <mergeCell ref="F23:G23"/>
    <mergeCell ref="C3:H3"/>
    <mergeCell ref="C4:H4"/>
    <mergeCell ref="C5:H5"/>
    <mergeCell ref="C6:H6"/>
    <mergeCell ref="C7:H7"/>
    <mergeCell ref="C8:H8"/>
    <mergeCell ref="C9:H9"/>
    <mergeCell ref="B10:H10"/>
    <mergeCell ref="E24:G24"/>
    <mergeCell ref="E25:G25"/>
    <mergeCell ref="E26:G26"/>
    <mergeCell ref="E27:G27"/>
    <mergeCell ref="E28:G28"/>
  </mergeCells>
  <pageMargins left="0.7" right="0.7" top="0.75" bottom="0.75" header="0.3" footer="0.3"/>
  <pageSetup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11BB7-64E3-44C0-9767-D69B67130383}">
  <sheetPr>
    <pageSetUpPr fitToPage="1"/>
  </sheetPr>
  <dimension ref="A1:I23"/>
  <sheetViews>
    <sheetView tabSelected="1" view="pageBreakPreview" zoomScaleNormal="100" zoomScaleSheetLayoutView="100" workbookViewId="0">
      <selection activeCell="C2" sqref="C2:G2"/>
    </sheetView>
  </sheetViews>
  <sheetFormatPr defaultRowHeight="15" x14ac:dyDescent="0.25"/>
  <cols>
    <col min="1" max="1" width="7.28515625" customWidth="1"/>
    <col min="2" max="2" width="33.28515625" customWidth="1"/>
    <col min="3" max="7" width="32.140625" customWidth="1"/>
    <col min="8" max="8" width="46.5703125" customWidth="1"/>
  </cols>
  <sheetData>
    <row r="1" spans="2:8" ht="15.75" thickBot="1" x14ac:dyDescent="0.3"/>
    <row r="2" spans="2:8" ht="62.25" customHeight="1" x14ac:dyDescent="0.25">
      <c r="B2" s="9" t="s">
        <v>32</v>
      </c>
      <c r="C2" s="21" t="s">
        <v>46</v>
      </c>
      <c r="D2" s="22"/>
      <c r="E2" s="22"/>
      <c r="F2" s="22"/>
      <c r="G2" s="23"/>
      <c r="H2" s="10" t="s">
        <v>0</v>
      </c>
    </row>
    <row r="3" spans="2:8" ht="39" customHeight="1" x14ac:dyDescent="0.25">
      <c r="B3" s="11" t="s">
        <v>22</v>
      </c>
      <c r="C3" s="19" t="s">
        <v>47</v>
      </c>
      <c r="D3" s="19"/>
      <c r="E3" s="19"/>
      <c r="F3" s="19"/>
      <c r="G3" s="19"/>
      <c r="H3" s="20"/>
    </row>
    <row r="4" spans="2:8" ht="39" customHeight="1" x14ac:dyDescent="0.25">
      <c r="B4" s="11" t="s">
        <v>23</v>
      </c>
      <c r="C4" s="19" t="s">
        <v>48</v>
      </c>
      <c r="D4" s="19"/>
      <c r="E4" s="19"/>
      <c r="F4" s="19"/>
      <c r="G4" s="19"/>
      <c r="H4" s="20"/>
    </row>
    <row r="5" spans="2:8" ht="39" customHeight="1" x14ac:dyDescent="0.25">
      <c r="B5" s="11" t="s">
        <v>24</v>
      </c>
      <c r="C5" s="19" t="s">
        <v>49</v>
      </c>
      <c r="D5" s="19"/>
      <c r="E5" s="19"/>
      <c r="F5" s="19"/>
      <c r="G5" s="19"/>
      <c r="H5" s="20"/>
    </row>
    <row r="6" spans="2:8" ht="54" customHeight="1" x14ac:dyDescent="0.25">
      <c r="B6" s="11" t="s">
        <v>25</v>
      </c>
      <c r="C6" s="19" t="s">
        <v>26</v>
      </c>
      <c r="D6" s="19"/>
      <c r="E6" s="19"/>
      <c r="F6" s="19"/>
      <c r="G6" s="19"/>
      <c r="H6" s="20"/>
    </row>
    <row r="7" spans="2:8" ht="50.25" customHeight="1" x14ac:dyDescent="0.25">
      <c r="B7" s="11" t="s">
        <v>27</v>
      </c>
      <c r="C7" s="19" t="s">
        <v>28</v>
      </c>
      <c r="D7" s="19"/>
      <c r="E7" s="19"/>
      <c r="F7" s="19"/>
      <c r="G7" s="19"/>
      <c r="H7" s="20"/>
    </row>
    <row r="8" spans="2:8" ht="35.25" customHeight="1" x14ac:dyDescent="0.25">
      <c r="B8" s="11" t="s">
        <v>29</v>
      </c>
      <c r="C8" s="19" t="s">
        <v>30</v>
      </c>
      <c r="D8" s="19"/>
      <c r="E8" s="19"/>
      <c r="F8" s="19"/>
      <c r="G8" s="19"/>
      <c r="H8" s="20"/>
    </row>
    <row r="9" spans="2:8" ht="26.25" customHeight="1" x14ac:dyDescent="0.25">
      <c r="B9" s="11" t="s">
        <v>31</v>
      </c>
      <c r="C9" s="19" t="s">
        <v>51</v>
      </c>
      <c r="D9" s="19"/>
      <c r="E9" s="19"/>
      <c r="F9" s="19"/>
      <c r="G9" s="19"/>
      <c r="H9" s="20"/>
    </row>
    <row r="10" spans="2:8" ht="59.25" customHeight="1" x14ac:dyDescent="0.25">
      <c r="B10" s="26" t="s">
        <v>54</v>
      </c>
      <c r="C10" s="27"/>
      <c r="D10" s="27"/>
      <c r="E10" s="27"/>
      <c r="F10" s="27"/>
      <c r="G10" s="27"/>
      <c r="H10" s="28"/>
    </row>
    <row r="11" spans="2:8" ht="15.75" x14ac:dyDescent="0.25">
      <c r="B11" s="12" t="s">
        <v>33</v>
      </c>
      <c r="C11" s="5" t="s">
        <v>34</v>
      </c>
      <c r="D11" s="5" t="s">
        <v>35</v>
      </c>
      <c r="E11" s="5" t="s">
        <v>36</v>
      </c>
      <c r="F11" s="5" t="s">
        <v>1</v>
      </c>
      <c r="G11" s="5" t="s">
        <v>38</v>
      </c>
      <c r="H11" s="13" t="s">
        <v>38</v>
      </c>
    </row>
    <row r="12" spans="2:8" x14ac:dyDescent="0.25">
      <c r="B12" s="3">
        <v>211</v>
      </c>
      <c r="C12" s="1">
        <v>211</v>
      </c>
      <c r="D12" s="1" t="s">
        <v>2</v>
      </c>
      <c r="E12" s="1" t="s">
        <v>3</v>
      </c>
      <c r="F12" s="1">
        <v>1</v>
      </c>
      <c r="G12" s="1">
        <f>F12*B12</f>
        <v>211</v>
      </c>
      <c r="H12" s="2">
        <f>C12*F12</f>
        <v>211</v>
      </c>
    </row>
    <row r="13" spans="2:8" x14ac:dyDescent="0.25">
      <c r="B13" s="3">
        <v>45</v>
      </c>
      <c r="C13" s="1">
        <v>45</v>
      </c>
      <c r="D13" s="1" t="s">
        <v>20</v>
      </c>
      <c r="E13" s="1" t="s">
        <v>21</v>
      </c>
      <c r="F13" s="1">
        <v>1</v>
      </c>
      <c r="G13" s="1">
        <f t="shared" ref="G13:G16" si="0">F13*B13</f>
        <v>45</v>
      </c>
      <c r="H13" s="2">
        <f t="shared" ref="H13:H16" si="1">C13*F13</f>
        <v>45</v>
      </c>
    </row>
    <row r="14" spans="2:8" x14ac:dyDescent="0.25">
      <c r="B14" s="3">
        <v>264</v>
      </c>
      <c r="C14" s="1">
        <v>336</v>
      </c>
      <c r="D14" s="1" t="s">
        <v>4</v>
      </c>
      <c r="E14" s="1" t="s">
        <v>5</v>
      </c>
      <c r="F14" s="1">
        <v>5</v>
      </c>
      <c r="G14" s="1">
        <f t="shared" si="0"/>
        <v>1320</v>
      </c>
      <c r="H14" s="2">
        <f t="shared" si="1"/>
        <v>1680</v>
      </c>
    </row>
    <row r="15" spans="2:8" x14ac:dyDescent="0.25">
      <c r="B15" s="3">
        <v>40</v>
      </c>
      <c r="C15" s="1">
        <v>93</v>
      </c>
      <c r="D15" s="1" t="s">
        <v>6</v>
      </c>
      <c r="E15" s="1" t="s">
        <v>7</v>
      </c>
      <c r="F15" s="1">
        <v>1</v>
      </c>
      <c r="G15" s="1">
        <f t="shared" si="0"/>
        <v>40</v>
      </c>
      <c r="H15" s="2">
        <f t="shared" si="1"/>
        <v>93</v>
      </c>
    </row>
    <row r="16" spans="2:8" x14ac:dyDescent="0.25">
      <c r="B16" s="3">
        <v>5</v>
      </c>
      <c r="C16" s="1">
        <v>5</v>
      </c>
      <c r="D16" s="1" t="s">
        <v>8</v>
      </c>
      <c r="E16" s="1" t="s">
        <v>9</v>
      </c>
      <c r="F16" s="1">
        <v>2</v>
      </c>
      <c r="G16" s="1">
        <f t="shared" si="0"/>
        <v>10</v>
      </c>
      <c r="H16" s="2">
        <f t="shared" si="1"/>
        <v>10</v>
      </c>
    </row>
    <row r="17" spans="1:9" ht="27" customHeight="1" x14ac:dyDescent="0.25">
      <c r="B17" s="29" t="s">
        <v>52</v>
      </c>
      <c r="C17" s="30"/>
      <c r="D17" s="30"/>
      <c r="E17" s="36" t="s">
        <v>37</v>
      </c>
      <c r="F17" s="36"/>
      <c r="G17" s="6">
        <f>SUM(G12:G16)</f>
        <v>1626</v>
      </c>
      <c r="H17" s="14"/>
    </row>
    <row r="18" spans="1:9" ht="30" customHeight="1" x14ac:dyDescent="0.25">
      <c r="B18" s="31"/>
      <c r="C18" s="30"/>
      <c r="D18" s="32"/>
      <c r="E18" s="15"/>
      <c r="F18" s="37" t="s">
        <v>39</v>
      </c>
      <c r="G18" s="37"/>
      <c r="H18" s="16">
        <f>SUM(H12:H16)</f>
        <v>2039</v>
      </c>
    </row>
    <row r="19" spans="1:9" ht="24.75" customHeight="1" x14ac:dyDescent="0.25">
      <c r="A19" s="7"/>
      <c r="B19" s="31"/>
      <c r="C19" s="30"/>
      <c r="D19" s="30"/>
      <c r="E19" s="38" t="s">
        <v>40</v>
      </c>
      <c r="F19" s="38"/>
      <c r="G19" s="38"/>
      <c r="H19" s="16">
        <f>G17*24</f>
        <v>39024</v>
      </c>
      <c r="I19" s="7"/>
    </row>
    <row r="20" spans="1:9" ht="24.75" customHeight="1" x14ac:dyDescent="0.25">
      <c r="B20" s="31"/>
      <c r="C20" s="30"/>
      <c r="D20" s="30"/>
      <c r="E20" s="39" t="s">
        <v>41</v>
      </c>
      <c r="F20" s="38"/>
      <c r="G20" s="38"/>
      <c r="H20" s="16">
        <f>H18*30/60</f>
        <v>1019.5</v>
      </c>
    </row>
    <row r="21" spans="1:9" ht="24.75" customHeight="1" x14ac:dyDescent="0.25">
      <c r="B21" s="31"/>
      <c r="C21" s="30"/>
      <c r="D21" s="30"/>
      <c r="E21" s="39" t="s">
        <v>43</v>
      </c>
      <c r="F21" s="38"/>
      <c r="G21" s="38"/>
      <c r="H21" s="16">
        <f>(H19+H20)/1000</f>
        <v>40.043500000000002</v>
      </c>
    </row>
    <row r="22" spans="1:9" ht="24.75" customHeight="1" thickBot="1" x14ac:dyDescent="0.3">
      <c r="B22" s="31"/>
      <c r="C22" s="30"/>
      <c r="D22" s="30"/>
      <c r="E22" s="40" t="s">
        <v>42</v>
      </c>
      <c r="F22" s="41"/>
      <c r="G22" s="41"/>
      <c r="H22" s="17">
        <f>H21*1.2</f>
        <v>48.052199999999999</v>
      </c>
    </row>
    <row r="23" spans="1:9" ht="41.25" customHeight="1" thickBot="1" x14ac:dyDescent="0.3">
      <c r="B23" s="33"/>
      <c r="C23" s="34"/>
      <c r="D23" s="35"/>
      <c r="E23" s="24" t="s">
        <v>44</v>
      </c>
      <c r="F23" s="25"/>
      <c r="G23" s="25"/>
      <c r="H23" s="8" t="s">
        <v>55</v>
      </c>
    </row>
  </sheetData>
  <mergeCells count="17">
    <mergeCell ref="E23:G23"/>
    <mergeCell ref="C8:H8"/>
    <mergeCell ref="C9:H9"/>
    <mergeCell ref="B10:H10"/>
    <mergeCell ref="B17:D23"/>
    <mergeCell ref="E17:F17"/>
    <mergeCell ref="F18:G18"/>
    <mergeCell ref="E19:G19"/>
    <mergeCell ref="E20:G20"/>
    <mergeCell ref="E21:G21"/>
    <mergeCell ref="E22:G22"/>
    <mergeCell ref="C7:H7"/>
    <mergeCell ref="C2:G2"/>
    <mergeCell ref="C3:H3"/>
    <mergeCell ref="C4:H4"/>
    <mergeCell ref="C5:H5"/>
    <mergeCell ref="C6:H6"/>
  </mergeCells>
  <pageMargins left="0.7" right="0.7" top="0.75" bottom="0.75" header="0.3" footer="0.3"/>
  <pageSetup scale="48"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FFB7-6D14-4C8A-9ED6-AB25FFC504E6}">
  <sheetPr>
    <pageSetUpPr fitToPage="1"/>
  </sheetPr>
  <dimension ref="A1:I23"/>
  <sheetViews>
    <sheetView view="pageBreakPreview" topLeftCell="A3" zoomScaleNormal="100" zoomScaleSheetLayoutView="100" workbookViewId="0">
      <selection activeCell="C9" sqref="C9:H9"/>
    </sheetView>
  </sheetViews>
  <sheetFormatPr defaultRowHeight="15" x14ac:dyDescent="0.25"/>
  <cols>
    <col min="1" max="1" width="7.28515625" customWidth="1"/>
    <col min="2" max="2" width="33.28515625" customWidth="1"/>
    <col min="3" max="7" width="32.140625" customWidth="1"/>
    <col min="8" max="8" width="46.5703125" customWidth="1"/>
  </cols>
  <sheetData>
    <row r="1" spans="2:8" ht="15.75" thickBot="1" x14ac:dyDescent="0.3"/>
    <row r="2" spans="2:8" ht="62.25" customHeight="1" x14ac:dyDescent="0.25">
      <c r="B2" s="9" t="s">
        <v>32</v>
      </c>
      <c r="C2" s="21" t="s">
        <v>46</v>
      </c>
      <c r="D2" s="22"/>
      <c r="E2" s="22"/>
      <c r="F2" s="22"/>
      <c r="G2" s="23"/>
      <c r="H2" s="10" t="s">
        <v>0</v>
      </c>
    </row>
    <row r="3" spans="2:8" ht="39" customHeight="1" x14ac:dyDescent="0.25">
      <c r="B3" s="11" t="s">
        <v>22</v>
      </c>
      <c r="C3" s="19" t="s">
        <v>47</v>
      </c>
      <c r="D3" s="19"/>
      <c r="E3" s="19"/>
      <c r="F3" s="19"/>
      <c r="G3" s="19"/>
      <c r="H3" s="20"/>
    </row>
    <row r="4" spans="2:8" ht="39" customHeight="1" x14ac:dyDescent="0.25">
      <c r="B4" s="11" t="s">
        <v>23</v>
      </c>
      <c r="C4" s="19" t="s">
        <v>48</v>
      </c>
      <c r="D4" s="19"/>
      <c r="E4" s="19"/>
      <c r="F4" s="19"/>
      <c r="G4" s="19"/>
      <c r="H4" s="20"/>
    </row>
    <row r="5" spans="2:8" ht="39" customHeight="1" x14ac:dyDescent="0.25">
      <c r="B5" s="11" t="s">
        <v>24</v>
      </c>
      <c r="C5" s="19" t="s">
        <v>49</v>
      </c>
      <c r="D5" s="19"/>
      <c r="E5" s="19"/>
      <c r="F5" s="19"/>
      <c r="G5" s="19"/>
      <c r="H5" s="20"/>
    </row>
    <row r="6" spans="2:8" ht="54" customHeight="1" x14ac:dyDescent="0.25">
      <c r="B6" s="11" t="s">
        <v>25</v>
      </c>
      <c r="C6" s="19" t="s">
        <v>26</v>
      </c>
      <c r="D6" s="19"/>
      <c r="E6" s="19"/>
      <c r="F6" s="19"/>
      <c r="G6" s="19"/>
      <c r="H6" s="20"/>
    </row>
    <row r="7" spans="2:8" ht="50.25" customHeight="1" x14ac:dyDescent="0.25">
      <c r="B7" s="11" t="s">
        <v>27</v>
      </c>
      <c r="C7" s="19" t="s">
        <v>28</v>
      </c>
      <c r="D7" s="19"/>
      <c r="E7" s="19"/>
      <c r="F7" s="19"/>
      <c r="G7" s="19"/>
      <c r="H7" s="20"/>
    </row>
    <row r="8" spans="2:8" ht="35.25" customHeight="1" x14ac:dyDescent="0.25">
      <c r="B8" s="11" t="s">
        <v>29</v>
      </c>
      <c r="C8" s="19" t="s">
        <v>30</v>
      </c>
      <c r="D8" s="19"/>
      <c r="E8" s="19"/>
      <c r="F8" s="19"/>
      <c r="G8" s="19"/>
      <c r="H8" s="20"/>
    </row>
    <row r="9" spans="2:8" ht="26.25" customHeight="1" x14ac:dyDescent="0.25">
      <c r="B9" s="11" t="s">
        <v>31</v>
      </c>
      <c r="C9" s="19" t="s">
        <v>51</v>
      </c>
      <c r="D9" s="19"/>
      <c r="E9" s="19"/>
      <c r="F9" s="19"/>
      <c r="G9" s="19"/>
      <c r="H9" s="20"/>
    </row>
    <row r="10" spans="2:8" ht="59.25" customHeight="1" x14ac:dyDescent="0.25">
      <c r="B10" s="26" t="s">
        <v>56</v>
      </c>
      <c r="C10" s="27"/>
      <c r="D10" s="27"/>
      <c r="E10" s="27"/>
      <c r="F10" s="27"/>
      <c r="G10" s="27"/>
      <c r="H10" s="28"/>
    </row>
    <row r="11" spans="2:8" ht="15.75" x14ac:dyDescent="0.25">
      <c r="B11" s="12" t="s">
        <v>33</v>
      </c>
      <c r="C11" s="5" t="s">
        <v>34</v>
      </c>
      <c r="D11" s="5" t="s">
        <v>35</v>
      </c>
      <c r="E11" s="5" t="s">
        <v>36</v>
      </c>
      <c r="F11" s="5" t="s">
        <v>1</v>
      </c>
      <c r="G11" s="5" t="s">
        <v>38</v>
      </c>
      <c r="H11" s="13" t="s">
        <v>38</v>
      </c>
    </row>
    <row r="12" spans="2:8" x14ac:dyDescent="0.25">
      <c r="B12" s="3">
        <v>211</v>
      </c>
      <c r="C12" s="1">
        <v>211</v>
      </c>
      <c r="D12" s="1" t="s">
        <v>2</v>
      </c>
      <c r="E12" s="1" t="s">
        <v>3</v>
      </c>
      <c r="F12" s="1">
        <v>1</v>
      </c>
      <c r="G12" s="1">
        <f>F12*B12</f>
        <v>211</v>
      </c>
      <c r="H12" s="2">
        <f>C12*F12</f>
        <v>211</v>
      </c>
    </row>
    <row r="13" spans="2:8" x14ac:dyDescent="0.25">
      <c r="B13" s="3">
        <v>45</v>
      </c>
      <c r="C13" s="1">
        <v>45</v>
      </c>
      <c r="D13" s="1" t="s">
        <v>20</v>
      </c>
      <c r="E13" s="1" t="s">
        <v>21</v>
      </c>
      <c r="F13" s="1">
        <v>1</v>
      </c>
      <c r="G13" s="1">
        <f t="shared" ref="G13:G16" si="0">F13*B13</f>
        <v>45</v>
      </c>
      <c r="H13" s="2">
        <f t="shared" ref="H13:H16" si="1">C13*F13</f>
        <v>45</v>
      </c>
    </row>
    <row r="14" spans="2:8" x14ac:dyDescent="0.25">
      <c r="B14" s="3">
        <v>264</v>
      </c>
      <c r="C14" s="1">
        <v>336</v>
      </c>
      <c r="D14" s="1" t="s">
        <v>4</v>
      </c>
      <c r="E14" s="1" t="s">
        <v>5</v>
      </c>
      <c r="F14" s="1">
        <v>5</v>
      </c>
      <c r="G14" s="1">
        <f t="shared" si="0"/>
        <v>1320</v>
      </c>
      <c r="H14" s="2">
        <f t="shared" si="1"/>
        <v>1680</v>
      </c>
    </row>
    <row r="15" spans="2:8" x14ac:dyDescent="0.25">
      <c r="B15" s="3">
        <v>40</v>
      </c>
      <c r="C15" s="1">
        <v>93</v>
      </c>
      <c r="D15" s="1" t="s">
        <v>6</v>
      </c>
      <c r="E15" s="1" t="s">
        <v>7</v>
      </c>
      <c r="F15" s="1">
        <v>1</v>
      </c>
      <c r="G15" s="1">
        <f t="shared" si="0"/>
        <v>40</v>
      </c>
      <c r="H15" s="2">
        <f t="shared" si="1"/>
        <v>93</v>
      </c>
    </row>
    <row r="16" spans="2:8" x14ac:dyDescent="0.25">
      <c r="B16" s="3">
        <v>5</v>
      </c>
      <c r="C16" s="1">
        <v>5</v>
      </c>
      <c r="D16" s="1" t="s">
        <v>8</v>
      </c>
      <c r="E16" s="1" t="s">
        <v>9</v>
      </c>
      <c r="F16" s="1">
        <v>2</v>
      </c>
      <c r="G16" s="1">
        <f t="shared" si="0"/>
        <v>10</v>
      </c>
      <c r="H16" s="2">
        <f t="shared" si="1"/>
        <v>10</v>
      </c>
    </row>
    <row r="17" spans="1:9" ht="27" customHeight="1" x14ac:dyDescent="0.25">
      <c r="B17" s="29" t="s">
        <v>52</v>
      </c>
      <c r="C17" s="30"/>
      <c r="D17" s="30"/>
      <c r="E17" s="36" t="s">
        <v>37</v>
      </c>
      <c r="F17" s="36"/>
      <c r="G17" s="6">
        <f>SUM(G12:G16)</f>
        <v>1626</v>
      </c>
      <c r="H17" s="14"/>
    </row>
    <row r="18" spans="1:9" ht="30" customHeight="1" x14ac:dyDescent="0.25">
      <c r="B18" s="31"/>
      <c r="C18" s="30"/>
      <c r="D18" s="32"/>
      <c r="E18" s="15"/>
      <c r="F18" s="37" t="s">
        <v>39</v>
      </c>
      <c r="G18" s="37"/>
      <c r="H18" s="16">
        <f>SUM(H12:H16)</f>
        <v>2039</v>
      </c>
    </row>
    <row r="19" spans="1:9" ht="24.75" customHeight="1" x14ac:dyDescent="0.25">
      <c r="A19" s="7"/>
      <c r="B19" s="31"/>
      <c r="C19" s="30"/>
      <c r="D19" s="30"/>
      <c r="E19" s="38" t="s">
        <v>40</v>
      </c>
      <c r="F19" s="38"/>
      <c r="G19" s="38"/>
      <c r="H19" s="16">
        <f>G17*24</f>
        <v>39024</v>
      </c>
      <c r="I19" s="7"/>
    </row>
    <row r="20" spans="1:9" ht="24.75" customHeight="1" x14ac:dyDescent="0.25">
      <c r="B20" s="31"/>
      <c r="C20" s="30"/>
      <c r="D20" s="30"/>
      <c r="E20" s="39" t="s">
        <v>41</v>
      </c>
      <c r="F20" s="38"/>
      <c r="G20" s="38"/>
      <c r="H20" s="16">
        <f>H18*30/60</f>
        <v>1019.5</v>
      </c>
    </row>
    <row r="21" spans="1:9" ht="24.75" customHeight="1" x14ac:dyDescent="0.25">
      <c r="B21" s="31"/>
      <c r="C21" s="30"/>
      <c r="D21" s="30"/>
      <c r="E21" s="39" t="s">
        <v>43</v>
      </c>
      <c r="F21" s="38"/>
      <c r="G21" s="38"/>
      <c r="H21" s="16">
        <f>(H19+H20)/1000</f>
        <v>40.043500000000002</v>
      </c>
    </row>
    <row r="22" spans="1:9" ht="24.75" customHeight="1" thickBot="1" x14ac:dyDescent="0.3">
      <c r="B22" s="31"/>
      <c r="C22" s="30"/>
      <c r="D22" s="30"/>
      <c r="E22" s="40" t="s">
        <v>42</v>
      </c>
      <c r="F22" s="41"/>
      <c r="G22" s="41"/>
      <c r="H22" s="17">
        <f>H21*1.2</f>
        <v>48.052199999999999</v>
      </c>
    </row>
    <row r="23" spans="1:9" ht="41.25" customHeight="1" thickBot="1" x14ac:dyDescent="0.3">
      <c r="B23" s="33"/>
      <c r="C23" s="34"/>
      <c r="D23" s="35"/>
      <c r="E23" s="24" t="s">
        <v>44</v>
      </c>
      <c r="F23" s="25"/>
      <c r="G23" s="25"/>
      <c r="H23" s="8" t="s">
        <v>55</v>
      </c>
    </row>
  </sheetData>
  <mergeCells count="17">
    <mergeCell ref="C7:H7"/>
    <mergeCell ref="C2:G2"/>
    <mergeCell ref="C3:H3"/>
    <mergeCell ref="C4:H4"/>
    <mergeCell ref="C5:H5"/>
    <mergeCell ref="C6:H6"/>
    <mergeCell ref="E23:G23"/>
    <mergeCell ref="C8:H8"/>
    <mergeCell ref="C9:H9"/>
    <mergeCell ref="B10:H10"/>
    <mergeCell ref="B17:D23"/>
    <mergeCell ref="E17:F17"/>
    <mergeCell ref="F18:G18"/>
    <mergeCell ref="E19:G19"/>
    <mergeCell ref="E20:G20"/>
    <mergeCell ref="E21:G21"/>
    <mergeCell ref="E22:G22"/>
  </mergeCells>
  <pageMargins left="0.7" right="0.7" top="0.75" bottom="0.75" header="0.3" footer="0.3"/>
  <pageSetup scale="48"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0C32-6A38-4BC2-A131-B3B12B1EE68E}">
  <sheetPr>
    <pageSetUpPr fitToPage="1"/>
  </sheetPr>
  <dimension ref="A1:I23"/>
  <sheetViews>
    <sheetView view="pageBreakPreview" zoomScale="85" zoomScaleNormal="100" zoomScaleSheetLayoutView="85" workbookViewId="0">
      <selection activeCell="B17" sqref="B17:D23"/>
    </sheetView>
  </sheetViews>
  <sheetFormatPr defaultRowHeight="15" x14ac:dyDescent="0.25"/>
  <cols>
    <col min="1" max="1" width="7.28515625" customWidth="1"/>
    <col min="2" max="2" width="33.28515625" customWidth="1"/>
    <col min="3" max="7" width="32.140625" customWidth="1"/>
    <col min="8" max="8" width="46.5703125" customWidth="1"/>
  </cols>
  <sheetData>
    <row r="1" spans="2:8" ht="15.75" thickBot="1" x14ac:dyDescent="0.3"/>
    <row r="2" spans="2:8" ht="62.25" customHeight="1" x14ac:dyDescent="0.25">
      <c r="B2" s="9" t="s">
        <v>32</v>
      </c>
      <c r="C2" s="21" t="s">
        <v>46</v>
      </c>
      <c r="D2" s="22"/>
      <c r="E2" s="22"/>
      <c r="F2" s="22"/>
      <c r="G2" s="23"/>
      <c r="H2" s="10" t="s">
        <v>0</v>
      </c>
    </row>
    <row r="3" spans="2:8" ht="39" customHeight="1" x14ac:dyDescent="0.25">
      <c r="B3" s="11" t="s">
        <v>22</v>
      </c>
      <c r="C3" s="19" t="s">
        <v>47</v>
      </c>
      <c r="D3" s="19"/>
      <c r="E3" s="19"/>
      <c r="F3" s="19"/>
      <c r="G3" s="19"/>
      <c r="H3" s="20"/>
    </row>
    <row r="4" spans="2:8" ht="39" customHeight="1" x14ac:dyDescent="0.25">
      <c r="B4" s="11" t="s">
        <v>23</v>
      </c>
      <c r="C4" s="19" t="s">
        <v>48</v>
      </c>
      <c r="D4" s="19"/>
      <c r="E4" s="19"/>
      <c r="F4" s="19"/>
      <c r="G4" s="19"/>
      <c r="H4" s="20"/>
    </row>
    <row r="5" spans="2:8" ht="39" customHeight="1" x14ac:dyDescent="0.25">
      <c r="B5" s="11" t="s">
        <v>24</v>
      </c>
      <c r="C5" s="19" t="s">
        <v>49</v>
      </c>
      <c r="D5" s="19"/>
      <c r="E5" s="19"/>
      <c r="F5" s="19"/>
      <c r="G5" s="19"/>
      <c r="H5" s="20"/>
    </row>
    <row r="6" spans="2:8" ht="54" customHeight="1" x14ac:dyDescent="0.25">
      <c r="B6" s="11" t="s">
        <v>25</v>
      </c>
      <c r="C6" s="19" t="s">
        <v>26</v>
      </c>
      <c r="D6" s="19"/>
      <c r="E6" s="19"/>
      <c r="F6" s="19"/>
      <c r="G6" s="19"/>
      <c r="H6" s="20"/>
    </row>
    <row r="7" spans="2:8" ht="50.25" customHeight="1" x14ac:dyDescent="0.25">
      <c r="B7" s="11" t="s">
        <v>27</v>
      </c>
      <c r="C7" s="19" t="s">
        <v>28</v>
      </c>
      <c r="D7" s="19"/>
      <c r="E7" s="19"/>
      <c r="F7" s="19"/>
      <c r="G7" s="19"/>
      <c r="H7" s="20"/>
    </row>
    <row r="8" spans="2:8" ht="35.25" customHeight="1" x14ac:dyDescent="0.25">
      <c r="B8" s="11" t="s">
        <v>29</v>
      </c>
      <c r="C8" s="19" t="s">
        <v>30</v>
      </c>
      <c r="D8" s="19"/>
      <c r="E8" s="19"/>
      <c r="F8" s="19"/>
      <c r="G8" s="19"/>
      <c r="H8" s="20"/>
    </row>
    <row r="9" spans="2:8" ht="26.25" customHeight="1" x14ac:dyDescent="0.25">
      <c r="B9" s="11" t="s">
        <v>31</v>
      </c>
      <c r="C9" s="19" t="s">
        <v>51</v>
      </c>
      <c r="D9" s="19"/>
      <c r="E9" s="19"/>
      <c r="F9" s="19"/>
      <c r="G9" s="19"/>
      <c r="H9" s="20"/>
    </row>
    <row r="10" spans="2:8" ht="59.25" customHeight="1" x14ac:dyDescent="0.25">
      <c r="B10" s="26" t="s">
        <v>57</v>
      </c>
      <c r="C10" s="27"/>
      <c r="D10" s="27"/>
      <c r="E10" s="27"/>
      <c r="F10" s="27"/>
      <c r="G10" s="27"/>
      <c r="H10" s="28"/>
    </row>
    <row r="11" spans="2:8" ht="15.75" x14ac:dyDescent="0.25">
      <c r="B11" s="12" t="s">
        <v>33</v>
      </c>
      <c r="C11" s="5" t="s">
        <v>34</v>
      </c>
      <c r="D11" s="5" t="s">
        <v>35</v>
      </c>
      <c r="E11" s="5" t="s">
        <v>36</v>
      </c>
      <c r="F11" s="5" t="s">
        <v>1</v>
      </c>
      <c r="G11" s="5" t="s">
        <v>38</v>
      </c>
      <c r="H11" s="13" t="s">
        <v>38</v>
      </c>
    </row>
    <row r="12" spans="2:8" x14ac:dyDescent="0.25">
      <c r="B12" s="3">
        <v>211</v>
      </c>
      <c r="C12" s="1">
        <v>211</v>
      </c>
      <c r="D12" s="1" t="s">
        <v>2</v>
      </c>
      <c r="E12" s="1" t="s">
        <v>3</v>
      </c>
      <c r="F12" s="1">
        <v>1</v>
      </c>
      <c r="G12" s="1">
        <f>F12*B12</f>
        <v>211</v>
      </c>
      <c r="H12" s="2">
        <f>C12*F12</f>
        <v>211</v>
      </c>
    </row>
    <row r="13" spans="2:8" x14ac:dyDescent="0.25">
      <c r="B13" s="3">
        <v>45</v>
      </c>
      <c r="C13" s="1">
        <v>45</v>
      </c>
      <c r="D13" s="1" t="s">
        <v>20</v>
      </c>
      <c r="E13" s="1" t="s">
        <v>21</v>
      </c>
      <c r="F13" s="1">
        <v>1</v>
      </c>
      <c r="G13" s="1">
        <f t="shared" ref="G13:G16" si="0">F13*B13</f>
        <v>45</v>
      </c>
      <c r="H13" s="2">
        <f t="shared" ref="H13:H16" si="1">C13*F13</f>
        <v>45</v>
      </c>
    </row>
    <row r="14" spans="2:8" x14ac:dyDescent="0.25">
      <c r="B14" s="3">
        <v>264</v>
      </c>
      <c r="C14" s="1">
        <v>336</v>
      </c>
      <c r="D14" s="1" t="s">
        <v>4</v>
      </c>
      <c r="E14" s="1" t="s">
        <v>5</v>
      </c>
      <c r="F14" s="1">
        <v>3</v>
      </c>
      <c r="G14" s="1">
        <f t="shared" si="0"/>
        <v>792</v>
      </c>
      <c r="H14" s="2">
        <f t="shared" si="1"/>
        <v>1008</v>
      </c>
    </row>
    <row r="15" spans="2:8" x14ac:dyDescent="0.25">
      <c r="B15" s="3">
        <v>40</v>
      </c>
      <c r="C15" s="1">
        <v>93</v>
      </c>
      <c r="D15" s="1" t="s">
        <v>6</v>
      </c>
      <c r="E15" s="1" t="s">
        <v>7</v>
      </c>
      <c r="F15" s="1">
        <v>1</v>
      </c>
      <c r="G15" s="1">
        <f t="shared" si="0"/>
        <v>40</v>
      </c>
      <c r="H15" s="2">
        <f t="shared" si="1"/>
        <v>93</v>
      </c>
    </row>
    <row r="16" spans="2:8" x14ac:dyDescent="0.25">
      <c r="B16" s="3">
        <v>5</v>
      </c>
      <c r="C16" s="1">
        <v>5</v>
      </c>
      <c r="D16" s="1" t="s">
        <v>8</v>
      </c>
      <c r="E16" s="1" t="s">
        <v>9</v>
      </c>
      <c r="F16" s="1">
        <v>2</v>
      </c>
      <c r="G16" s="1">
        <f t="shared" si="0"/>
        <v>10</v>
      </c>
      <c r="H16" s="2">
        <f t="shared" si="1"/>
        <v>10</v>
      </c>
    </row>
    <row r="17" spans="1:9" ht="27" customHeight="1" x14ac:dyDescent="0.25">
      <c r="B17" s="29" t="s">
        <v>52</v>
      </c>
      <c r="C17" s="30"/>
      <c r="D17" s="30"/>
      <c r="E17" s="48" t="s">
        <v>37</v>
      </c>
      <c r="F17" s="36"/>
      <c r="G17" s="6">
        <f>SUM(G12:G16)</f>
        <v>1098</v>
      </c>
      <c r="H17" s="14"/>
    </row>
    <row r="18" spans="1:9" ht="30" customHeight="1" x14ac:dyDescent="0.25">
      <c r="B18" s="31"/>
      <c r="C18" s="30"/>
      <c r="D18" s="30"/>
      <c r="E18" s="15"/>
      <c r="F18" s="37" t="s">
        <v>39</v>
      </c>
      <c r="G18" s="37"/>
      <c r="H18" s="16">
        <f>SUM(H12:H16)</f>
        <v>1367</v>
      </c>
    </row>
    <row r="19" spans="1:9" ht="24.75" customHeight="1" x14ac:dyDescent="0.25">
      <c r="A19" s="7"/>
      <c r="B19" s="31"/>
      <c r="C19" s="30"/>
      <c r="D19" s="30"/>
      <c r="E19" s="39" t="s">
        <v>40</v>
      </c>
      <c r="F19" s="38"/>
      <c r="G19" s="38"/>
      <c r="H19" s="16">
        <f>G17*24</f>
        <v>26352</v>
      </c>
      <c r="I19" s="7"/>
    </row>
    <row r="20" spans="1:9" ht="24.75" customHeight="1" x14ac:dyDescent="0.25">
      <c r="B20" s="31"/>
      <c r="C20" s="30"/>
      <c r="D20" s="30"/>
      <c r="E20" s="39" t="s">
        <v>41</v>
      </c>
      <c r="F20" s="38"/>
      <c r="G20" s="38"/>
      <c r="H20" s="16">
        <f>H18*30/60</f>
        <v>683.5</v>
      </c>
    </row>
    <row r="21" spans="1:9" ht="24.75" customHeight="1" x14ac:dyDescent="0.25">
      <c r="B21" s="31"/>
      <c r="C21" s="30"/>
      <c r="D21" s="30"/>
      <c r="E21" s="39" t="s">
        <v>43</v>
      </c>
      <c r="F21" s="38"/>
      <c r="G21" s="38"/>
      <c r="H21" s="16">
        <f>(H19+H20)/1000</f>
        <v>27.035499999999999</v>
      </c>
    </row>
    <row r="22" spans="1:9" ht="24.75" customHeight="1" thickBot="1" x14ac:dyDescent="0.3">
      <c r="B22" s="31"/>
      <c r="C22" s="30"/>
      <c r="D22" s="30"/>
      <c r="E22" s="40" t="s">
        <v>42</v>
      </c>
      <c r="F22" s="41"/>
      <c r="G22" s="41"/>
      <c r="H22" s="17">
        <f>H21*1.2</f>
        <v>32.442599999999999</v>
      </c>
    </row>
    <row r="23" spans="1:9" ht="41.25" customHeight="1" thickBot="1" x14ac:dyDescent="0.3">
      <c r="B23" s="33"/>
      <c r="C23" s="34"/>
      <c r="D23" s="34"/>
      <c r="E23" s="42" t="s">
        <v>44</v>
      </c>
      <c r="F23" s="25"/>
      <c r="G23" s="25"/>
      <c r="H23" s="8" t="s">
        <v>55</v>
      </c>
    </row>
  </sheetData>
  <mergeCells count="17">
    <mergeCell ref="C7:H7"/>
    <mergeCell ref="C2:G2"/>
    <mergeCell ref="C3:H3"/>
    <mergeCell ref="C4:H4"/>
    <mergeCell ref="C5:H5"/>
    <mergeCell ref="C6:H6"/>
    <mergeCell ref="E23:G23"/>
    <mergeCell ref="C8:H8"/>
    <mergeCell ref="C9:H9"/>
    <mergeCell ref="B10:H10"/>
    <mergeCell ref="B17:D23"/>
    <mergeCell ref="E17:F17"/>
    <mergeCell ref="F18:G18"/>
    <mergeCell ref="E19:G19"/>
    <mergeCell ref="E20:G20"/>
    <mergeCell ref="E21:G21"/>
    <mergeCell ref="E22:G22"/>
  </mergeCells>
  <pageMargins left="0.7" right="0.7" top="0.75" bottom="0.75" header="0.3" footer="0.3"/>
  <pageSetup scale="48"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52A6-68C8-46B8-BD57-70929FF5CF6F}">
  <dimension ref="C3:I23"/>
  <sheetViews>
    <sheetView view="pageBreakPreview" topLeftCell="A7" zoomScaleNormal="100" zoomScaleSheetLayoutView="100" workbookViewId="0">
      <selection activeCell="D7" sqref="D7:I7"/>
    </sheetView>
  </sheetViews>
  <sheetFormatPr defaultRowHeight="15" x14ac:dyDescent="0.25"/>
  <cols>
    <col min="3" max="3" width="40.140625" customWidth="1"/>
    <col min="4" max="4" width="31" customWidth="1"/>
    <col min="5" max="5" width="34.28515625" customWidth="1"/>
    <col min="6" max="6" width="31" customWidth="1"/>
    <col min="7" max="7" width="12.28515625" customWidth="1"/>
    <col min="8" max="8" width="31" customWidth="1"/>
    <col min="9" max="9" width="29.28515625" customWidth="1"/>
  </cols>
  <sheetData>
    <row r="3" spans="3:9" ht="15.75" thickBot="1" x14ac:dyDescent="0.3"/>
    <row r="4" spans="3:9" ht="105" x14ac:dyDescent="0.25">
      <c r="C4" s="9" t="s">
        <v>32</v>
      </c>
      <c r="D4" s="21" t="s">
        <v>46</v>
      </c>
      <c r="E4" s="22"/>
      <c r="F4" s="22"/>
      <c r="G4" s="22"/>
      <c r="H4" s="23"/>
      <c r="I4" s="10" t="s">
        <v>0</v>
      </c>
    </row>
    <row r="5" spans="3:9" ht="36" x14ac:dyDescent="0.25">
      <c r="C5" s="11" t="s">
        <v>22</v>
      </c>
      <c r="D5" s="19" t="s">
        <v>47</v>
      </c>
      <c r="E5" s="19"/>
      <c r="F5" s="19"/>
      <c r="G5" s="19"/>
      <c r="H5" s="19"/>
      <c r="I5" s="20"/>
    </row>
    <row r="6" spans="3:9" ht="39.75" customHeight="1" x14ac:dyDescent="0.25">
      <c r="C6" s="11" t="s">
        <v>23</v>
      </c>
      <c r="D6" s="19" t="s">
        <v>48</v>
      </c>
      <c r="E6" s="19"/>
      <c r="F6" s="19"/>
      <c r="G6" s="19"/>
      <c r="H6" s="19"/>
      <c r="I6" s="20"/>
    </row>
    <row r="7" spans="3:9" ht="46.5" customHeight="1" x14ac:dyDescent="0.25">
      <c r="C7" s="11" t="s">
        <v>24</v>
      </c>
      <c r="D7" s="19" t="s">
        <v>49</v>
      </c>
      <c r="E7" s="19"/>
      <c r="F7" s="19"/>
      <c r="G7" s="19"/>
      <c r="H7" s="19"/>
      <c r="I7" s="20"/>
    </row>
    <row r="8" spans="3:9" ht="57" customHeight="1" x14ac:dyDescent="0.25">
      <c r="C8" s="11" t="s">
        <v>25</v>
      </c>
      <c r="D8" s="19" t="s">
        <v>26</v>
      </c>
      <c r="E8" s="19"/>
      <c r="F8" s="19"/>
      <c r="G8" s="19"/>
      <c r="H8" s="19"/>
      <c r="I8" s="20"/>
    </row>
    <row r="9" spans="3:9" ht="54.75" customHeight="1" x14ac:dyDescent="0.25">
      <c r="C9" s="11" t="s">
        <v>27</v>
      </c>
      <c r="D9" s="19" t="s">
        <v>28</v>
      </c>
      <c r="E9" s="19"/>
      <c r="F9" s="19"/>
      <c r="G9" s="19"/>
      <c r="H9" s="19"/>
      <c r="I9" s="20"/>
    </row>
    <row r="10" spans="3:9" ht="39" customHeight="1" x14ac:dyDescent="0.25">
      <c r="C10" s="11" t="s">
        <v>29</v>
      </c>
      <c r="D10" s="19" t="s">
        <v>30</v>
      </c>
      <c r="E10" s="19"/>
      <c r="F10" s="19"/>
      <c r="G10" s="19"/>
      <c r="H10" s="19"/>
      <c r="I10" s="20"/>
    </row>
    <row r="11" spans="3:9" ht="36" x14ac:dyDescent="0.25">
      <c r="C11" s="11" t="s">
        <v>31</v>
      </c>
      <c r="D11" s="19" t="s">
        <v>51</v>
      </c>
      <c r="E11" s="19"/>
      <c r="F11" s="19"/>
      <c r="G11" s="19"/>
      <c r="H11" s="19"/>
      <c r="I11" s="20"/>
    </row>
    <row r="12" spans="3:9" ht="47.25" customHeight="1" x14ac:dyDescent="0.25">
      <c r="C12" s="49" t="s">
        <v>58</v>
      </c>
      <c r="D12" s="27"/>
      <c r="E12" s="27"/>
      <c r="F12" s="27"/>
      <c r="G12" s="27"/>
      <c r="H12" s="27"/>
      <c r="I12" s="28"/>
    </row>
    <row r="13" spans="3:9" ht="27" customHeight="1" x14ac:dyDescent="0.25">
      <c r="C13" s="12" t="s">
        <v>33</v>
      </c>
      <c r="D13" s="5" t="s">
        <v>34</v>
      </c>
      <c r="E13" s="5" t="s">
        <v>35</v>
      </c>
      <c r="F13" s="5" t="s">
        <v>36</v>
      </c>
      <c r="G13" s="5" t="s">
        <v>1</v>
      </c>
      <c r="H13" s="5" t="s">
        <v>38</v>
      </c>
      <c r="I13" s="13" t="s">
        <v>38</v>
      </c>
    </row>
    <row r="14" spans="3:9" x14ac:dyDescent="0.25">
      <c r="C14" s="3">
        <v>2</v>
      </c>
      <c r="D14" s="1">
        <v>2800</v>
      </c>
      <c r="E14" s="1" t="s">
        <v>60</v>
      </c>
      <c r="F14" s="1" t="s">
        <v>59</v>
      </c>
      <c r="G14" s="1">
        <v>2</v>
      </c>
      <c r="H14" s="1">
        <f>G14*C14</f>
        <v>4</v>
      </c>
      <c r="I14" s="2">
        <f>D14*G14</f>
        <v>5600</v>
      </c>
    </row>
    <row r="15" spans="3:9" x14ac:dyDescent="0.25">
      <c r="C15" s="3">
        <v>200</v>
      </c>
      <c r="D15" s="1">
        <v>200</v>
      </c>
      <c r="E15" s="1" t="s">
        <v>61</v>
      </c>
      <c r="F15" s="1" t="s">
        <v>61</v>
      </c>
      <c r="G15" s="1">
        <v>1</v>
      </c>
      <c r="H15" s="1">
        <f t="shared" ref="H15:H16" si="0">G15*C15</f>
        <v>200</v>
      </c>
      <c r="I15" s="2">
        <f t="shared" ref="I15:I16" si="1">D15*G15</f>
        <v>200</v>
      </c>
    </row>
    <row r="16" spans="3:9" x14ac:dyDescent="0.25">
      <c r="C16" s="3">
        <v>3.96E-3</v>
      </c>
      <c r="D16" s="1">
        <v>6.7999999999999996E-3</v>
      </c>
      <c r="E16" s="1" t="s">
        <v>63</v>
      </c>
      <c r="F16" s="1" t="s">
        <v>62</v>
      </c>
      <c r="G16" s="1">
        <v>1</v>
      </c>
      <c r="H16" s="1">
        <f t="shared" si="0"/>
        <v>3.96E-3</v>
      </c>
      <c r="I16" s="2">
        <f t="shared" si="1"/>
        <v>6.7999999999999996E-3</v>
      </c>
    </row>
    <row r="17" spans="3:9" ht="25.5" customHeight="1" x14ac:dyDescent="0.25">
      <c r="C17" s="29" t="s">
        <v>65</v>
      </c>
      <c r="D17" s="30"/>
      <c r="E17" s="30"/>
      <c r="F17" s="48" t="s">
        <v>37</v>
      </c>
      <c r="G17" s="36"/>
      <c r="H17" s="6">
        <f>SUM(H14:H16)</f>
        <v>204.00396000000001</v>
      </c>
      <c r="I17" s="14"/>
    </row>
    <row r="18" spans="3:9" ht="24.75" customHeight="1" x14ac:dyDescent="0.25">
      <c r="C18" s="31"/>
      <c r="D18" s="30"/>
      <c r="E18" s="30"/>
      <c r="F18" s="15"/>
      <c r="G18" s="37" t="s">
        <v>39</v>
      </c>
      <c r="H18" s="37"/>
      <c r="I18" s="16">
        <f>SUM(I14:I16)</f>
        <v>5800.0068000000001</v>
      </c>
    </row>
    <row r="19" spans="3:9" ht="25.5" customHeight="1" x14ac:dyDescent="0.25">
      <c r="C19" s="31"/>
      <c r="D19" s="30"/>
      <c r="E19" s="30"/>
      <c r="F19" s="39" t="s">
        <v>40</v>
      </c>
      <c r="G19" s="38"/>
      <c r="H19" s="38"/>
      <c r="I19" s="16">
        <f>H17*24</f>
        <v>4896.0950400000002</v>
      </c>
    </row>
    <row r="20" spans="3:9" ht="20.25" customHeight="1" x14ac:dyDescent="0.25">
      <c r="C20" s="31"/>
      <c r="D20" s="30"/>
      <c r="E20" s="30"/>
      <c r="F20" s="39" t="s">
        <v>41</v>
      </c>
      <c r="G20" s="38"/>
      <c r="H20" s="38"/>
      <c r="I20" s="16">
        <f>I18*30/60</f>
        <v>2900.0034000000001</v>
      </c>
    </row>
    <row r="21" spans="3:9" ht="20.25" customHeight="1" x14ac:dyDescent="0.25">
      <c r="C21" s="31"/>
      <c r="D21" s="30"/>
      <c r="E21" s="30"/>
      <c r="F21" s="39" t="s">
        <v>43</v>
      </c>
      <c r="G21" s="38"/>
      <c r="H21" s="38"/>
      <c r="I21" s="16">
        <f>(I19+I20)/1000</f>
        <v>7.7960984399999997</v>
      </c>
    </row>
    <row r="22" spans="3:9" ht="20.25" customHeight="1" thickBot="1" x14ac:dyDescent="0.3">
      <c r="C22" s="31"/>
      <c r="D22" s="30"/>
      <c r="E22" s="30"/>
      <c r="F22" s="40" t="s">
        <v>42</v>
      </c>
      <c r="G22" s="41"/>
      <c r="H22" s="41"/>
      <c r="I22" s="17">
        <f>I21*1.2</f>
        <v>9.3553181279999986</v>
      </c>
    </row>
    <row r="23" spans="3:9" ht="32.25" thickBot="1" x14ac:dyDescent="0.3">
      <c r="C23" s="33"/>
      <c r="D23" s="34"/>
      <c r="E23" s="34"/>
      <c r="F23" s="42" t="s">
        <v>44</v>
      </c>
      <c r="G23" s="25"/>
      <c r="H23" s="25"/>
      <c r="I23" s="8" t="s">
        <v>64</v>
      </c>
    </row>
  </sheetData>
  <mergeCells count="17">
    <mergeCell ref="D9:I9"/>
    <mergeCell ref="D4:H4"/>
    <mergeCell ref="D5:I5"/>
    <mergeCell ref="D6:I6"/>
    <mergeCell ref="D7:I7"/>
    <mergeCell ref="D8:I8"/>
    <mergeCell ref="F23:H23"/>
    <mergeCell ref="D10:I10"/>
    <mergeCell ref="D11:I11"/>
    <mergeCell ref="C12:I12"/>
    <mergeCell ref="C17:E23"/>
    <mergeCell ref="F17:G17"/>
    <mergeCell ref="G18:H18"/>
    <mergeCell ref="F19:H19"/>
    <mergeCell ref="F20:H20"/>
    <mergeCell ref="F21:H21"/>
    <mergeCell ref="F22:H22"/>
  </mergeCells>
  <pageMargins left="0.7" right="0.7" top="0.75" bottom="0.75" header="0.3" footer="0.3"/>
  <pageSetup scale="38"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4162-4D34-46CE-A1C3-4343CBEFAB83}">
  <dimension ref="B2:H20"/>
  <sheetViews>
    <sheetView view="pageBreakPreview" zoomScale="85" zoomScaleNormal="100" zoomScaleSheetLayoutView="85" workbookViewId="0">
      <selection activeCell="C8" sqref="C8:H8"/>
    </sheetView>
  </sheetViews>
  <sheetFormatPr defaultRowHeight="15" x14ac:dyDescent="0.25"/>
  <cols>
    <col min="2" max="2" width="40.140625" customWidth="1"/>
    <col min="3" max="3" width="31" customWidth="1"/>
    <col min="4" max="4" width="27.42578125" customWidth="1"/>
    <col min="5" max="5" width="43.7109375" customWidth="1"/>
    <col min="6" max="6" width="12.28515625" customWidth="1"/>
    <col min="7" max="7" width="31" customWidth="1"/>
    <col min="8" max="8" width="29.28515625" customWidth="1"/>
  </cols>
  <sheetData>
    <row r="2" spans="2:8" ht="15.75" thickBot="1" x14ac:dyDescent="0.3"/>
    <row r="3" spans="2:8" ht="87" customHeight="1" x14ac:dyDescent="0.25">
      <c r="B3" s="9" t="s">
        <v>32</v>
      </c>
      <c r="C3" s="21" t="s">
        <v>46</v>
      </c>
      <c r="D3" s="22"/>
      <c r="E3" s="22"/>
      <c r="F3" s="22"/>
      <c r="G3" s="23"/>
      <c r="H3" s="10" t="s">
        <v>0</v>
      </c>
    </row>
    <row r="4" spans="2:8" ht="18" x14ac:dyDescent="0.25">
      <c r="B4" s="11" t="s">
        <v>22</v>
      </c>
      <c r="C4" s="19" t="s">
        <v>47</v>
      </c>
      <c r="D4" s="19"/>
      <c r="E4" s="19"/>
      <c r="F4" s="19"/>
      <c r="G4" s="19"/>
      <c r="H4" s="20"/>
    </row>
    <row r="5" spans="2:8" ht="39.75" customHeight="1" x14ac:dyDescent="0.25">
      <c r="B5" s="11" t="s">
        <v>23</v>
      </c>
      <c r="C5" s="19" t="s">
        <v>48</v>
      </c>
      <c r="D5" s="19"/>
      <c r="E5" s="19"/>
      <c r="F5" s="19"/>
      <c r="G5" s="19"/>
      <c r="H5" s="20"/>
    </row>
    <row r="6" spans="2:8" ht="46.5" customHeight="1" x14ac:dyDescent="0.25">
      <c r="B6" s="11" t="s">
        <v>24</v>
      </c>
      <c r="C6" s="19" t="s">
        <v>49</v>
      </c>
      <c r="D6" s="19"/>
      <c r="E6" s="19"/>
      <c r="F6" s="19"/>
      <c r="G6" s="19"/>
      <c r="H6" s="20"/>
    </row>
    <row r="7" spans="2:8" ht="57" customHeight="1" x14ac:dyDescent="0.25">
      <c r="B7" s="11" t="s">
        <v>25</v>
      </c>
      <c r="C7" s="19" t="s">
        <v>26</v>
      </c>
      <c r="D7" s="19"/>
      <c r="E7" s="19"/>
      <c r="F7" s="19"/>
      <c r="G7" s="19"/>
      <c r="H7" s="20"/>
    </row>
    <row r="8" spans="2:8" ht="54.75" customHeight="1" x14ac:dyDescent="0.25">
      <c r="B8" s="11" t="s">
        <v>27</v>
      </c>
      <c r="C8" s="19" t="s">
        <v>28</v>
      </c>
      <c r="D8" s="19"/>
      <c r="E8" s="19"/>
      <c r="F8" s="19"/>
      <c r="G8" s="19"/>
      <c r="H8" s="20"/>
    </row>
    <row r="9" spans="2:8" ht="39" customHeight="1" x14ac:dyDescent="0.25">
      <c r="B9" s="11" t="s">
        <v>29</v>
      </c>
      <c r="C9" s="19" t="s">
        <v>30</v>
      </c>
      <c r="D9" s="19"/>
      <c r="E9" s="19"/>
      <c r="F9" s="19"/>
      <c r="G9" s="19"/>
      <c r="H9" s="20"/>
    </row>
    <row r="10" spans="2:8" ht="18" x14ac:dyDescent="0.25">
      <c r="B10" s="11" t="s">
        <v>31</v>
      </c>
      <c r="C10" s="19" t="s">
        <v>51</v>
      </c>
      <c r="D10" s="19"/>
      <c r="E10" s="19"/>
      <c r="F10" s="19"/>
      <c r="G10" s="19"/>
      <c r="H10" s="20"/>
    </row>
    <row r="11" spans="2:8" ht="47.25" customHeight="1" x14ac:dyDescent="0.25">
      <c r="B11" s="49" t="s">
        <v>66</v>
      </c>
      <c r="C11" s="27"/>
      <c r="D11" s="27"/>
      <c r="E11" s="27"/>
      <c r="F11" s="27"/>
      <c r="G11" s="27"/>
      <c r="H11" s="28"/>
    </row>
    <row r="12" spans="2:8" ht="27" customHeight="1" x14ac:dyDescent="0.25">
      <c r="B12" s="12" t="s">
        <v>33</v>
      </c>
      <c r="C12" s="5" t="s">
        <v>34</v>
      </c>
      <c r="D12" s="5" t="s">
        <v>35</v>
      </c>
      <c r="E12" s="5" t="s">
        <v>36</v>
      </c>
      <c r="F12" s="5" t="s">
        <v>1</v>
      </c>
      <c r="G12" s="5" t="s">
        <v>38</v>
      </c>
      <c r="H12" s="13" t="s">
        <v>38</v>
      </c>
    </row>
    <row r="13" spans="2:8" x14ac:dyDescent="0.25">
      <c r="B13" s="3">
        <v>70</v>
      </c>
      <c r="C13" s="18">
        <v>10270</v>
      </c>
      <c r="D13" s="1" t="s">
        <v>68</v>
      </c>
      <c r="E13" s="1" t="s">
        <v>67</v>
      </c>
      <c r="F13" s="1">
        <v>1</v>
      </c>
      <c r="G13" s="1">
        <f>F13*B13</f>
        <v>70</v>
      </c>
      <c r="H13" s="2">
        <f>C13*F13</f>
        <v>10270</v>
      </c>
    </row>
    <row r="14" spans="2:8" ht="25.5" customHeight="1" x14ac:dyDescent="0.25">
      <c r="B14" s="29" t="s">
        <v>69</v>
      </c>
      <c r="C14" s="30"/>
      <c r="D14" s="30"/>
      <c r="E14" s="48" t="s">
        <v>37</v>
      </c>
      <c r="F14" s="36"/>
      <c r="G14" s="6">
        <f>SUM(G13:G13)</f>
        <v>70</v>
      </c>
      <c r="H14" s="14"/>
    </row>
    <row r="15" spans="2:8" ht="24.75" customHeight="1" x14ac:dyDescent="0.25">
      <c r="B15" s="31"/>
      <c r="C15" s="30"/>
      <c r="D15" s="30"/>
      <c r="E15" s="15"/>
      <c r="F15" s="37" t="s">
        <v>39</v>
      </c>
      <c r="G15" s="37"/>
      <c r="H15" s="16">
        <f>SUM(H13:H13)</f>
        <v>10270</v>
      </c>
    </row>
    <row r="16" spans="2:8" ht="25.5" customHeight="1" x14ac:dyDescent="0.25">
      <c r="B16" s="31"/>
      <c r="C16" s="30"/>
      <c r="D16" s="30"/>
      <c r="E16" s="39" t="s">
        <v>40</v>
      </c>
      <c r="F16" s="38"/>
      <c r="G16" s="38"/>
      <c r="H16" s="16">
        <f>G14*24</f>
        <v>1680</v>
      </c>
    </row>
    <row r="17" spans="2:8" ht="20.25" customHeight="1" x14ac:dyDescent="0.25">
      <c r="B17" s="31"/>
      <c r="C17" s="30"/>
      <c r="D17" s="30"/>
      <c r="E17" s="39" t="s">
        <v>41</v>
      </c>
      <c r="F17" s="38"/>
      <c r="G17" s="38"/>
      <c r="H17" s="16">
        <f>H15*30/60</f>
        <v>5135</v>
      </c>
    </row>
    <row r="18" spans="2:8" ht="20.25" customHeight="1" x14ac:dyDescent="0.25">
      <c r="B18" s="31"/>
      <c r="C18" s="30"/>
      <c r="D18" s="30"/>
      <c r="E18" s="39" t="s">
        <v>43</v>
      </c>
      <c r="F18" s="38"/>
      <c r="G18" s="38"/>
      <c r="H18" s="16">
        <f>(H16+H17)/1000</f>
        <v>6.8150000000000004</v>
      </c>
    </row>
    <row r="19" spans="2:8" ht="20.25" customHeight="1" thickBot="1" x14ac:dyDescent="0.3">
      <c r="B19" s="31"/>
      <c r="C19" s="30"/>
      <c r="D19" s="30"/>
      <c r="E19" s="40" t="s">
        <v>42</v>
      </c>
      <c r="F19" s="41"/>
      <c r="G19" s="41"/>
      <c r="H19" s="17">
        <f>H18*1.2</f>
        <v>8.1780000000000008</v>
      </c>
    </row>
    <row r="20" spans="2:8" ht="32.25" thickBot="1" x14ac:dyDescent="0.3">
      <c r="B20" s="33"/>
      <c r="C20" s="34"/>
      <c r="D20" s="34"/>
      <c r="E20" s="42" t="s">
        <v>44</v>
      </c>
      <c r="F20" s="25"/>
      <c r="G20" s="25"/>
      <c r="H20" s="8" t="s">
        <v>64</v>
      </c>
    </row>
  </sheetData>
  <mergeCells count="17">
    <mergeCell ref="C8:H8"/>
    <mergeCell ref="C3:G3"/>
    <mergeCell ref="C4:H4"/>
    <mergeCell ref="C5:H5"/>
    <mergeCell ref="C6:H6"/>
    <mergeCell ref="C7:H7"/>
    <mergeCell ref="E20:G20"/>
    <mergeCell ref="C9:H9"/>
    <mergeCell ref="C10:H10"/>
    <mergeCell ref="B11:H11"/>
    <mergeCell ref="B14:D20"/>
    <mergeCell ref="E14:F14"/>
    <mergeCell ref="F15:G15"/>
    <mergeCell ref="E16:G16"/>
    <mergeCell ref="E17:G17"/>
    <mergeCell ref="E18:G18"/>
    <mergeCell ref="E19:G19"/>
  </mergeCells>
  <pageMargins left="0.7" right="0.7" top="0.75" bottom="0.75" header="0.3" footer="0.3"/>
  <pageSetup scale="38"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EAAC911DD5344CB4581FF65697DE2D" ma:contentTypeVersion="18" ma:contentTypeDescription="Create a new document." ma:contentTypeScope="" ma:versionID="40a42a7a8259fcddfed60a13c8d5237b">
  <xsd:schema xmlns:xsd="http://www.w3.org/2001/XMLSchema" xmlns:xs="http://www.w3.org/2001/XMLSchema" xmlns:p="http://schemas.microsoft.com/office/2006/metadata/properties" xmlns:ns2="bea4cbd1-13f3-413b-9b06-943095e2f9a5" xmlns:ns3="cdf343ce-c275-4b0a-9bf0-f94cb000d0b1" targetNamespace="http://schemas.microsoft.com/office/2006/metadata/properties" ma:root="true" ma:fieldsID="eb6e33d3cb0c545069413710a20e3a14" ns2:_="" ns3:_="">
    <xsd:import namespace="bea4cbd1-13f3-413b-9b06-943095e2f9a5"/>
    <xsd:import namespace="cdf343ce-c275-4b0a-9bf0-f94cb000d0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a4cbd1-13f3-413b-9b06-943095e2f9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3a6193b-0c92-4245-ba73-08e42b612ac8"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f343ce-c275-4b0a-9bf0-f94cb000d0b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e26826c-b2b7-4794-9291-813495950d59}" ma:internalName="TaxCatchAll" ma:showField="CatchAllData" ma:web="cdf343ce-c275-4b0a-9bf0-f94cb000d0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f343ce-c275-4b0a-9bf0-f94cb000d0b1" xsi:nil="true"/>
    <lcf76f155ced4ddcb4097134ff3c332f xmlns="bea4cbd1-13f3-413b-9b06-943095e2f9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D79CAC-3FB5-4C21-8ED2-D0DDFE860CF3}">
  <ds:schemaRefs>
    <ds:schemaRef ds:uri="http://schemas.microsoft.com/sharepoint/v3/contenttype/forms"/>
  </ds:schemaRefs>
</ds:datastoreItem>
</file>

<file path=customXml/itemProps2.xml><?xml version="1.0" encoding="utf-8"?>
<ds:datastoreItem xmlns:ds="http://schemas.openxmlformats.org/officeDocument/2006/customXml" ds:itemID="{92F4DB69-68C1-441F-8878-3D4E074EC0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a4cbd1-13f3-413b-9b06-943095e2f9a5"/>
    <ds:schemaRef ds:uri="cdf343ce-c275-4b0a-9bf0-f94cb000d0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512F65-F8DC-495E-AB5A-8E1140F846FF}">
  <ds:schemaRefs>
    <ds:schemaRef ds:uri="http://schemas.microsoft.com/office/2006/metadata/properties"/>
    <ds:schemaRef ds:uri="http://schemas.microsoft.com/office/infopath/2007/PartnerControls"/>
    <ds:schemaRef ds:uri="cdf343ce-c275-4b0a-9bf0-f94cb000d0b1"/>
    <ds:schemaRef ds:uri="bea4cbd1-13f3-413b-9b06-943095e2f9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main</vt:lpstr>
      <vt:lpstr>sub</vt:lpstr>
      <vt:lpstr>sub (2)</vt:lpstr>
      <vt:lpstr>sub (3)</vt:lpstr>
      <vt:lpstr>APS</vt:lpstr>
      <vt:lpstr>BPS</vt:lpstr>
      <vt:lpstr>APS!Print_Area</vt:lpstr>
      <vt:lpstr>BPS!Print_Area</vt:lpstr>
      <vt:lpstr>main!Print_Area</vt:lpstr>
      <vt:lpstr>sub!Print_Area</vt:lpstr>
      <vt:lpstr>'sub (2)'!Print_Area</vt:lpstr>
      <vt:lpstr>'sub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Ramadan</dc:creator>
  <cp:lastModifiedBy>Mohamed Ramadan</cp:lastModifiedBy>
  <cp:lastPrinted>2026-08-11T04:28:52Z</cp:lastPrinted>
  <dcterms:created xsi:type="dcterms:W3CDTF">2025-12-24T12:48:05Z</dcterms:created>
  <dcterms:modified xsi:type="dcterms:W3CDTF">2026-08-11T04:36:26Z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0x010100CBEAAC911DD5344CB4581FF65697DE2D</vt:lpwstr>
  </property>
  <property fmtid="{D5CDD505-2E9C-101B-9397-08002B2CF9AE}" pid="3" name="MediaServiceImageTags">
    <vt:lpwstr/>
  </property>
</Properties>
</file>